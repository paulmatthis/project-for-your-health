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ily Summary" sheetId="2" state="visible" r:id="rId4"/>
    <sheet name="Weekly Rollup" sheetId="3" state="visible" r:id="rId5"/>
    <sheet name="Monthly Rollup" sheetId="4" state="visible" r:id="rId6"/>
    <sheet name="Food Log" sheetId="5" state="visible" r:id="rId7"/>
    <sheet name="Spending Log" sheetId="6" state="visible" r:id="rId8"/>
    <sheet name="Grocery Purchases" sheetId="7" state="visible" r:id="rId9"/>
    <sheet name="Cost per Macro" sheetId="8" state="visible" r:id="rId10"/>
    <sheet name="Profile &amp; Targets" sheetId="9" state="visible" r:id="rId11"/>
  </sheets>
  <definedNames>
    <definedName function="false" hidden="true" localSheetId="4" name="_xlnm._FilterDatabase" vbProcedure="false">'Food Log'!$A$1:$H$10</definedName>
    <definedName function="false" hidden="true" localSheetId="6" name="_xlnm._FilterDatabase" vbProcedure="false">'Grocery Purchases'!$A$1:$J$1</definedName>
    <definedName function="false" hidden="true" localSheetId="5" name="_xlnm._FilterDatabase" vbProcedure="false">'Spending Log'!$A$1:$E$36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<sst xmlns="http://schemas.openxmlformats.org/spreadsheetml/2006/main" count="154" uniqueCount="125">
  <si>
    <t xml:space="preserve">Project For Your Health - Tracker Workbook</t>
  </si>
  <si>
    <t xml:space="preserve">This workbook is a companion to the markdown files in the project folder, not a replacement.</t>
  </si>
  <si>
    <t xml:space="preserve">food-log.md, spending-log.md, grocery-purchases.md, and profile-and-targets.md remain the</t>
  </si>
  <si>
    <t xml:space="preserve">canonical, append-only record. Claude updates this workbook to match them each time a new</t>
  </si>
  <si>
    <t xml:space="preserve">entry is logged, so the numbers here should always match the markdown files as of the last</t>
  </si>
  <si>
    <t xml:space="preserve">update. If the two ever disagree, the markdown files are correct.</t>
  </si>
  <si>
    <t xml:space="preserve">TABS</t>
  </si>
  <si>
    <t xml:space="preserve">Daily Summary - one row per day, actuals vs. calorie/protein/carb/fat targets. Auto-calculates</t>
  </si>
  <si>
    <t xml:space="preserve">                  from Food Log by date; formulas are pre-built ~220 rows ahead.</t>
  </si>
  <si>
    <t xml:space="preserve">Weekly Rollup - Monday-Sunday weeks, macro averages and spending by category. Auto-calculates</t>
  </si>
  <si>
    <t xml:space="preserve">                  from Daily Summary and Spending Log; pre-built ~40 weeks ahead (a generous</t>
  </si>
  <si>
    <t xml:space="preserve">                  buffer past a typical multi-month timeline).</t>
  </si>
  <si>
    <t xml:space="preserve">Monthly Rollup - calendar months, same averages/spending breakdown as</t>
  </si>
  <si>
    <t xml:space="preserve">                  Weekly Rollup, pre-built ~24 months ahead.</t>
  </si>
  <si>
    <t xml:space="preserve">Food Log - mirrors food-log.md exactly.</t>
  </si>
  <si>
    <t xml:space="preserve">Spending Log - mirrors spending-log.md exactly.</t>
  </si>
  <si>
    <t xml:space="preserve">Grocery Purchases - mirrors grocery-purchases.md exactly, plus estimated protein/calories per</t>
  </si>
  <si>
    <t xml:space="preserve">                  item and the resulting $/g protein and $/1000 kcal.</t>
  </si>
  <si>
    <t xml:space="preserve">Cost per Macro - a live view of Grocery Purchases ranked for value, with color flags on</t>
  </si>
  <si>
    <t xml:space="preserve">                  weak vs. strong $/g protein.</t>
  </si>
  <si>
    <t xml:space="preserve">Profile &amp; Targets - mirrors profile-and-targets.md. Daily Summary and Weekly Rollup pull their</t>
  </si>
  <si>
    <t xml:space="preserve">                  target numbers from this tab, so updating a target here updates every</t>
  </si>
  <si>
    <t xml:space="preserve">                  downstream calculation.</t>
  </si>
  <si>
    <t xml:space="preserve">COLOR KEY</t>
  </si>
  <si>
    <t xml:space="preserve">Blue text   = hardcoded logged data (transcribed from a label, receipt, statement, or estimate)</t>
  </si>
  <si>
    <t xml:space="preserve">Black text  = formula, calculated from other cells</t>
  </si>
  <si>
    <t xml:space="preserve">MAINTENANCE (for whichever Claude session is reading this)</t>
  </si>
  <si>
    <t xml:space="preserve">1. Log the entry in the markdown file(s) first, per CLAUDE.md.</t>
  </si>
  <si>
    <t xml:space="preserve">2. Food Log and Spending Log: run python3 app/recompute.py, do not hand-add rows to those</t>
  </si>
  <si>
    <t xml:space="preserve">   two tabs. Grocery Purchases: add the row here by hand, in blue text (this tab has</t>
  </si>
  <si>
    <t xml:space="preserve">   Est. Protein/Calories columns not present in the .md file, so it is not scripted).</t>
  </si>
  <si>
    <t xml:space="preserve">3. Daily Summary, Weekly Rollup, and Monthly Rollup do not need new formulas for a while -</t>
  </si>
  <si>
    <t xml:space="preserve">   the range is pre-built. Just make sure the date lands inside an existing Daily Summary</t>
  </si>
  <si>
    <t xml:space="preserve">   row (col A) and the corresponding Weekly Rollup week / Monthly Rollup month.</t>
  </si>
  <si>
    <t xml:space="preserve">4. If you run past the pre-built row range on any tab, extend the formulas by copying the</t>
  </si>
  <si>
    <t xml:space="preserve">   pattern from the last existing row down, do not hand-type new formula logic.</t>
  </si>
  <si>
    <t xml:space="preserve">Daily Summary vs Targets</t>
  </si>
  <si>
    <t xml:space="preserve">One row per day. Add the date in column A for any day with Food Log entries - everything else calculates automatically. Diff columns: negative means under target, positive means over.</t>
  </si>
  <si>
    <t xml:space="preserve">Date</t>
  </si>
  <si>
    <t xml:space="preserve">Calories</t>
  </si>
  <si>
    <t xml:space="preserve">Protein (g)</t>
  </si>
  <si>
    <t xml:space="preserve">Carbs (g)</t>
  </si>
  <si>
    <t xml:space="preserve">Fat (g)</t>
  </si>
  <si>
    <t xml:space="preserve">Alcohol Cal</t>
  </si>
  <si>
    <t xml:space="preserve">Cal Target</t>
  </si>
  <si>
    <t xml:space="preserve">Protein Target</t>
  </si>
  <si>
    <t xml:space="preserve">Carb Target</t>
  </si>
  <si>
    <t xml:space="preserve">Fat Target</t>
  </si>
  <si>
    <t xml:space="preserve">Cal Diff</t>
  </si>
  <si>
    <t xml:space="preserve">Protein Diff</t>
  </si>
  <si>
    <t xml:space="preserve">Carb Diff</t>
  </si>
  <si>
    <t xml:space="preserve">Fat Diff</t>
  </si>
  <si>
    <t xml:space="preserve">Weekly Rollup</t>
  </si>
  <si>
    <t xml:space="preserve">Monday-Sunday weeks, pre-built for ~40 weeks (a generous buffer past a typical multi-month timeline). Averages are per-day-of-week (total / 7), not per-day-logged.</t>
  </si>
  <si>
    <t xml:space="preserve">Week Start</t>
  </si>
  <si>
    <t xml:space="preserve">Week End</t>
  </si>
  <si>
    <t xml:space="preserve">Total Cal</t>
  </si>
  <si>
    <t xml:space="preserve">Avg Cal/day</t>
  </si>
  <si>
    <t xml:space="preserve">Total Protein (g)</t>
  </si>
  <si>
    <t xml:space="preserve">Avg Protein/day</t>
  </si>
  <si>
    <t xml:space="preserve">Total Carbs (g)</t>
  </si>
  <si>
    <t xml:space="preserve">Avg Carbs/day</t>
  </si>
  <si>
    <t xml:space="preserve">Total Fat (g)</t>
  </si>
  <si>
    <t xml:space="preserve">Avg Fat/day</t>
  </si>
  <si>
    <t xml:space="preserve">Total Alcohol Cal</t>
  </si>
  <si>
    <t xml:space="preserve">Groceries $</t>
  </si>
  <si>
    <t xml:space="preserve">Alcohol/Beer $</t>
  </si>
  <si>
    <t xml:space="preserve">Eating Out $</t>
  </si>
  <si>
    <t xml:space="preserve">Other $</t>
  </si>
  <si>
    <t xml:space="preserve">Total Spend $</t>
  </si>
  <si>
    <t xml:space="preserve">Monthly Rollup</t>
  </si>
  <si>
    <t xml:space="preserve">Calendar months, pre-built for ~24 months (a generous buffer past a typical multi-month timeline). Averages are per-day-of-month (total / days in that month), not per-day-logged.</t>
  </si>
  <si>
    <t xml:space="preserve">Month Start</t>
  </si>
  <si>
    <t xml:space="preserve">Month End</t>
  </si>
  <si>
    <t xml:space="preserve">Item</t>
  </si>
  <si>
    <t xml:space="preserve">Alcohol?</t>
  </si>
  <si>
    <t xml:space="preserve">Confidence</t>
  </si>
  <si>
    <t xml:space="preserve">Vendor</t>
  </si>
  <si>
    <t xml:space="preserve">Category</t>
  </si>
  <si>
    <t xml:space="preserve">Amount</t>
  </si>
  <si>
    <t xml:space="preserve">Notes</t>
  </si>
  <si>
    <t xml:space="preserve">Qty/Size</t>
  </si>
  <si>
    <t xml:space="preserve">Price</t>
  </si>
  <si>
    <t xml:space="preserve">Food Category</t>
  </si>
  <si>
    <t xml:space="preserve">Est. Protein (g, total)</t>
  </si>
  <si>
    <t xml:space="preserve">Est. Calories (total)</t>
  </si>
  <si>
    <t xml:space="preserve">$/g Protein</t>
  </si>
  <si>
    <t xml:space="preserve">$/1000 kcal</t>
  </si>
  <si>
    <t xml:space="preserve">No purchases logged yet. Rows get added here (in blue) whenever a grocery receipt comes in - see grocery-purchases.md for the matching raw entries. Protein/calorie totals are Claude's estimate for the full quantity purchased, marked [estimated] in the Notes column unless a label made it [exact]. Columns H and I are pre-built formulas, they fill in automatically once a row has Price + protein/calories.</t>
  </si>
  <si>
    <t xml:space="preserve">Cost per Macro - Grocery Value View</t>
  </si>
  <si>
    <t xml:space="preserve">Live formula view of the Grocery Purchases tab. Green = better value (low $ per gram of protein), red = weaker value. Rows stay blank until Grocery Purchases has data. This does not re-sort itself - ask Claude for buy-next-time advice and it will read this tab plus recent purchases directly.</t>
  </si>
  <si>
    <t xml:space="preserve">Est. Protein (g)</t>
  </si>
  <si>
    <t xml:space="preserve">Est. Calories</t>
  </si>
  <si>
    <t xml:space="preserve">Profile &amp; Targets</t>
  </si>
  <si>
    <t xml:space="preserve">STATS</t>
  </si>
  <si>
    <t xml:space="preserve">Age</t>
  </si>
  <si>
    <t xml:space="preserve">Height</t>
  </si>
  <si>
    <t xml:space="preserve">Morning weight (lb)</t>
  </si>
  <si>
    <t xml:space="preserve">Goal weight (lb)</t>
  </si>
  <si>
    <t xml:space="preserve">Lb to lose</t>
  </si>
  <si>
    <t xml:space="preserve">Sex</t>
  </si>
  <si>
    <t xml:space="preserve">Activity level</t>
  </si>
  <si>
    <t xml:space="preserve">Chosen deficit (kcal/day)</t>
  </si>
  <si>
    <t xml:space="preserve">Location</t>
  </si>
  <si>
    <t xml:space="preserve">Diet history</t>
  </si>
  <si>
    <t xml:space="preserve">Beer habit (working estimate)</t>
  </si>
  <si>
    <t xml:space="preserve">Beverage preference</t>
  </si>
  <si>
    <t xml:space="preserve">Food dislikes</t>
  </si>
  <si>
    <t xml:space="preserve">Dining style</t>
  </si>
  <si>
    <t xml:space="preserve">Grocery source</t>
  </si>
  <si>
    <t xml:space="preserve">CALCULATED TARGETS (Mifflin-St Jeor equation)</t>
  </si>
  <si>
    <t xml:space="preserve">BMR (kcal/day)</t>
  </si>
  <si>
    <t xml:space="preserve">TDEE / maintenance (kcal/day)</t>
  </si>
  <si>
    <t xml:space="preserve">Daily calorie target (kcal/day)</t>
  </si>
  <si>
    <t xml:space="preserve">Protein target (g/day)</t>
  </si>
  <si>
    <t xml:space="preserve">Fat target (g/day)</t>
  </si>
  <si>
    <t xml:space="preserve">Carb target (g/day)</t>
  </si>
  <si>
    <t xml:space="preserve">Weekly alcohol budget (kcal/week)</t>
  </si>
  <si>
    <t xml:space="preserve">Daily avg alcohol budget (kcal/day)</t>
  </si>
  <si>
    <t xml:space="preserve">Food-only calorie budget (kcal/day)</t>
  </si>
  <si>
    <t xml:space="preserve">TIMELINE</t>
  </si>
  <si>
    <t xml:space="preserve">Estimated weeks to goal at this deficit</t>
  </si>
  <si>
    <t xml:space="preserve">Estimated goal date</t>
  </si>
  <si>
    <t xml:space="preserve">EVIDENCE BASIS</t>
  </si>
  <si>
    <t xml:space="preserve">OPEN ASSUMPTIONS (do not re-ask - correct only if the person volunteers otherwise)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</si>
</sst>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;\(#,##0\);\-"/>
    <numFmt numFmtId="167" formatCode="#,##0.0;\(#,##0.0\);\-"/>
    <numFmt numFmtId="168" formatCode="\$#,##0.00;&quot;($&quot;#,##0.00\);\-"/>
    <numFmt numFmtId="169" formatCode="\$#,##0.000;&quot;($&quot;#,##0.0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22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true" outlineLevel="0" collapsed="false">
      <c r="A5" s="3" t="s">
        <v>3</v>
      </c>
      <c r="B5" s="3"/>
      <c r="C5" s="3"/>
      <c r="D5" s="3"/>
    </row>
    <row r="6" customFormat="false" ht="15" hidden="false" customHeight="true" outlineLevel="0" collapsed="false">
      <c r="A6" s="3" t="s">
        <v>4</v>
      </c>
      <c r="B6" s="3"/>
      <c r="C6" s="3"/>
      <c r="D6" s="3"/>
    </row>
    <row r="7" customFormat="false" ht="15" hidden="false" customHeight="true" outlineLevel="0" collapsed="false">
      <c r="A7" s="3" t="s">
        <v>5</v>
      </c>
      <c r="B7" s="3"/>
      <c r="C7" s="3"/>
      <c r="D7" s="3"/>
    </row>
    <row r="9" customFormat="false" ht="15" hidden="false" customHeight="true" outlineLevel="0" collapsed="false">
      <c r="A9" s="4" t="s">
        <v>6</v>
      </c>
      <c r="B9" s="4"/>
      <c r="C9" s="4"/>
      <c r="D9" s="4"/>
    </row>
    <row r="10" customFormat="false" ht="15" hidden="false" customHeight="true" outlineLevel="0" collapsed="false">
      <c r="A10" s="3" t="s">
        <v>7</v>
      </c>
      <c r="B10" s="3"/>
      <c r="C10" s="3"/>
      <c r="D10" s="3"/>
    </row>
    <row r="11" customFormat="false" ht="15" hidden="false" customHeight="true" outlineLevel="0" collapsed="false">
      <c r="A11" s="3" t="s">
        <v>8</v>
      </c>
      <c r="B11" s="3"/>
      <c r="C11" s="3"/>
      <c r="D11" s="3"/>
    </row>
    <row r="12" customFormat="false" ht="15" hidden="false" customHeight="true" outlineLevel="0" collapsed="false">
      <c r="A12" s="3" t="s">
        <v>9</v>
      </c>
      <c r="B12" s="3"/>
      <c r="C12" s="3"/>
      <c r="D12" s="3"/>
    </row>
    <row r="13" customFormat="false" ht="15" hidden="false" customHeight="true" outlineLevel="0" collapsed="false">
      <c r="A13" s="3" t="s">
        <v>10</v>
      </c>
      <c r="B13" s="3"/>
      <c r="C13" s="3"/>
      <c r="D13" s="3"/>
    </row>
    <row r="14" customFormat="false" ht="15" hidden="false" customHeight="true" outlineLevel="0" collapsed="false">
      <c r="A14" s="3" t="s">
        <v>11</v>
      </c>
      <c r="B14" s="3"/>
      <c r="C14" s="3"/>
      <c r="D14" s="3"/>
    </row>
    <row r="15" customFormat="false" ht="15" hidden="false" customHeight="true" outlineLevel="0" collapsed="false">
      <c r="A15" s="5" t="s">
        <v>12</v>
      </c>
      <c r="B15" s="5"/>
      <c r="C15" s="5"/>
      <c r="D15" s="5"/>
    </row>
    <row r="16" customFormat="false" ht="15" hidden="false" customHeight="true" outlineLevel="0" collapsed="false">
      <c r="A16" s="5" t="s">
        <v>13</v>
      </c>
      <c r="B16" s="5"/>
      <c r="C16" s="5"/>
      <c r="D16" s="5"/>
    </row>
    <row r="17" customFormat="false" ht="15" hidden="false" customHeight="true" outlineLevel="0" collapsed="false">
      <c r="A17" s="3" t="s">
        <v>14</v>
      </c>
      <c r="B17" s="3"/>
      <c r="C17" s="3"/>
      <c r="D17" s="3"/>
    </row>
    <row r="18" customFormat="false" ht="15" hidden="false" customHeight="true" outlineLevel="0" collapsed="false">
      <c r="A18" s="3" t="s">
        <v>15</v>
      </c>
      <c r="B18" s="3"/>
      <c r="C18" s="3"/>
      <c r="D18" s="3"/>
    </row>
    <row r="19" customFormat="false" ht="15" hidden="false" customHeight="true" outlineLevel="0" collapsed="false">
      <c r="A19" s="3" t="s">
        <v>16</v>
      </c>
      <c r="B19" s="3"/>
      <c r="C19" s="3"/>
      <c r="D19" s="3"/>
    </row>
    <row r="20" customFormat="false" ht="15" hidden="false" customHeight="true" outlineLevel="0" collapsed="false">
      <c r="A20" s="3" t="s">
        <v>17</v>
      </c>
      <c r="B20" s="3"/>
      <c r="C20" s="3"/>
      <c r="D20" s="3"/>
    </row>
    <row r="21" customFormat="false" ht="15" hidden="false" customHeight="true" outlineLevel="0" collapsed="false">
      <c r="A21" s="3" t="s">
        <v>18</v>
      </c>
      <c r="B21" s="3"/>
      <c r="C21" s="3"/>
      <c r="D21" s="3"/>
    </row>
    <row r="22" customFormat="false" ht="15" hidden="false" customHeight="true" outlineLevel="0" collapsed="false">
      <c r="A22" s="3" t="s">
        <v>19</v>
      </c>
      <c r="B22" s="3"/>
      <c r="C22" s="3"/>
      <c r="D22" s="3"/>
    </row>
    <row r="23" customFormat="false" ht="15" hidden="false" customHeight="true" outlineLevel="0" collapsed="false">
      <c r="A23" s="3" t="s">
        <v>20</v>
      </c>
      <c r="B23" s="3"/>
      <c r="C23" s="3"/>
      <c r="D23" s="3"/>
    </row>
    <row r="24" customFormat="false" ht="45.75" hidden="false" customHeight="true" outlineLevel="0" collapsed="false">
      <c r="A24" s="6" t="s">
        <v>21</v>
      </c>
    </row>
    <row r="25" customFormat="false" ht="15" hidden="false" customHeight="true" outlineLevel="0" collapsed="false">
      <c r="A25" s="3" t="s">
        <v>22</v>
      </c>
      <c r="B25" s="3"/>
      <c r="C25" s="3"/>
      <c r="D25" s="3"/>
    </row>
    <row r="26" customFormat="false" ht="15" hidden="false" customHeight="true" outlineLevel="0" collapsed="false">
      <c r="A26" s="7"/>
      <c r="B26" s="7"/>
      <c r="C26" s="7"/>
      <c r="D26" s="7"/>
    </row>
    <row r="27" customFormat="false" ht="15" hidden="false" customHeight="true" outlineLevel="0" collapsed="false">
      <c r="A27" s="4" t="s">
        <v>23</v>
      </c>
      <c r="B27" s="4"/>
      <c r="C27" s="4"/>
      <c r="D27" s="4"/>
    </row>
    <row r="28" customFormat="false" ht="45.75" hidden="false" customHeight="true" outlineLevel="0" collapsed="false">
      <c r="A28" s="6" t="s">
        <v>24</v>
      </c>
    </row>
    <row r="29" customFormat="false" ht="15" hidden="false" customHeight="true" outlineLevel="0" collapsed="false">
      <c r="A29" s="3" t="s">
        <v>25</v>
      </c>
      <c r="B29" s="3"/>
      <c r="C29" s="3"/>
      <c r="D29" s="3"/>
    </row>
    <row r="30" customFormat="false" ht="15" hidden="false" customHeight="true" outlineLevel="0" collapsed="false">
      <c r="A30" s="7"/>
      <c r="B30" s="7"/>
      <c r="C30" s="7"/>
      <c r="D30" s="7"/>
    </row>
    <row r="31" customFormat="false" ht="15" hidden="false" customHeight="true" outlineLevel="0" collapsed="false">
      <c r="A31" s="4" t="s">
        <v>26</v>
      </c>
      <c r="B31" s="4"/>
      <c r="C31" s="4"/>
      <c r="D31" s="4"/>
    </row>
    <row r="32" customFormat="false" ht="15" hidden="false" customHeight="true" outlineLevel="0" collapsed="false">
      <c r="A32" s="3" t="s">
        <v>27</v>
      </c>
      <c r="B32" s="3"/>
      <c r="C32" s="3"/>
      <c r="D32" s="3"/>
    </row>
    <row r="33" customFormat="false" ht="15" hidden="false" customHeight="true" outlineLevel="0" collapsed="false">
      <c r="A33" s="3" t="s">
        <v>28</v>
      </c>
      <c r="B33" s="3"/>
      <c r="C33" s="3"/>
      <c r="D33" s="3"/>
    </row>
    <row r="34" customFormat="false" ht="15" hidden="false" customHeight="true" outlineLevel="0" collapsed="false">
      <c r="A34" s="3" t="s">
        <v>29</v>
      </c>
      <c r="B34" s="3"/>
      <c r="C34" s="3"/>
      <c r="D34" s="3"/>
    </row>
    <row r="35" customFormat="false" ht="15" hidden="false" customHeight="true" outlineLevel="0" collapsed="false">
      <c r="A35" s="3" t="s">
        <v>30</v>
      </c>
      <c r="B35" s="3"/>
      <c r="C35" s="3"/>
      <c r="D35" s="3"/>
    </row>
    <row r="36" customFormat="false" ht="15" hidden="false" customHeight="true" outlineLevel="0" collapsed="false">
      <c r="A36" s="3" t="s">
        <v>31</v>
      </c>
      <c r="B36" s="3"/>
      <c r="C36" s="3"/>
      <c r="D36" s="3"/>
    </row>
    <row r="37" customFormat="false" ht="15" hidden="false" customHeight="true" outlineLevel="0" collapsed="false">
      <c r="A37" s="3" t="s">
        <v>32</v>
      </c>
      <c r="B37" s="3"/>
      <c r="C37" s="3"/>
      <c r="D37" s="3"/>
    </row>
    <row r="38" customFormat="false" ht="45.75" hidden="false" customHeight="true" outlineLevel="0" collapsed="false">
      <c r="A38" s="3" t="s">
        <v>33</v>
      </c>
      <c r="B38" s="3"/>
      <c r="C38" s="3"/>
      <c r="D38" s="3"/>
    </row>
    <row r="39" customFormat="false" ht="45.75" hidden="false" customHeight="true" outlineLevel="0" collapsed="false">
      <c r="A39" s="3" t="s">
        <v>34</v>
      </c>
      <c r="B39" s="3"/>
      <c r="C39" s="3"/>
      <c r="D39" s="3"/>
    </row>
    <row r="40" customFormat="false" ht="15" hidden="false" customHeight="false" outlineLevel="0" collapsed="false">
      <c r="A40" s="7" t="s">
        <v>35</v>
      </c>
      <c r="B40" s="7"/>
      <c r="C40" s="7"/>
      <c r="D40" s="7"/>
    </row>
  </sheetData>
  <mergeCells count="36">
    <mergeCell ref="A1:D1"/>
    <mergeCell ref="A3:D3"/>
    <mergeCell ref="A4:D4"/>
    <mergeCell ref="A5:D5"/>
    <mergeCell ref="A6:D6"/>
    <mergeCell ref="A7:D7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5:D25"/>
    <mergeCell ref="A26:D26"/>
    <mergeCell ref="A27:D27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9"/>
    <col collapsed="false" customWidth="true" hidden="false" outlineLevel="0" max="12" min="12" style="1" width="11"/>
    <col collapsed="false" customWidth="true" hidden="false" outlineLevel="0" max="14" min="13" style="1" width="9"/>
  </cols>
  <sheetData>
    <row r="1" customFormat="false" ht="21.75" hidden="false" customHeight="true" outlineLevel="0" collapsed="false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7.75" hidden="false" customHeight="true" outlineLevel="0" collapsed="false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customFormat="false" ht="30" hidden="false" customHeight="true" outlineLevel="0" collapsed="false">
      <c r="A4" s="9" t="s">
        <v>38</v>
      </c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</row>
    <row r="5" customFormat="false" ht="15" hidden="false" customHeight="true" outlineLevel="0" collapsed="false">
      <c r="A5" s="10"/>
      <c r="B5" s="11" t="str">
        <f aca="false">IF(A5="","",SUMIFS('Food Log'!C:C,'Food Log'!A:A,A5))</f>
        <v/>
      </c>
      <c r="C5" s="11" t="str">
        <f aca="false">IF(A5="","",SUMIFS('Food Log'!D:D,'Food Log'!A:A,A5))</f>
        <v/>
      </c>
      <c r="D5" s="11" t="str">
        <f aca="false">IF(A5="","",SUMIFS('Food Log'!E:E,'Food Log'!A:A,A5))</f>
        <v/>
      </c>
      <c r="E5" s="11" t="str">
        <f aca="false">IF(A5="","",SUMIFS('Food Log'!F:F,'Food Log'!A:A,A5))</f>
        <v/>
      </c>
      <c r="F5" s="11" t="str">
        <f aca="false">IF(A5="","",SUMIFS('Food Log'!C:C,'Food Log'!A:A,A5,'Food Log'!G:G,"Yes*"))</f>
        <v/>
      </c>
      <c r="G5" s="11" t="str">
        <f aca="false">IF(A5="","",'Profile &amp; Targets'!$B$24)</f>
        <v/>
      </c>
      <c r="H5" s="11" t="str">
        <f aca="false">IF(A5="","",'Profile &amp; Targets'!$B$25)</f>
        <v/>
      </c>
      <c r="I5" s="11" t="str">
        <f aca="false">IF(A5="","",'Profile &amp; Targets'!$B$27)</f>
        <v/>
      </c>
      <c r="J5" s="11" t="str">
        <f aca="false">IF(A5="","",'Profile &amp; Targets'!$B$26)</f>
        <v/>
      </c>
      <c r="K5" s="11" t="str">
        <f aca="false">IF(A5="","",B5-G5)</f>
        <v/>
      </c>
      <c r="L5" s="11" t="str">
        <f aca="false">IF(A5="","",C5-H5)</f>
        <v/>
      </c>
      <c r="M5" s="11" t="str">
        <f aca="false">IF(A5="","",D5-I5)</f>
        <v/>
      </c>
      <c r="N5" s="11" t="str">
        <f aca="false">IF(A5="","",E5-J5)</f>
        <v/>
      </c>
    </row>
    <row r="6" customFormat="false" ht="15" hidden="false" customHeight="true" outlineLevel="0" collapsed="false">
      <c r="A6" s="10"/>
      <c r="B6" s="11" t="str">
        <f aca="false">IF(A6="","",SUMIFS('Food Log'!C:C,'Food Log'!A:A,A6))</f>
        <v/>
      </c>
      <c r="C6" s="11" t="str">
        <f aca="false">IF(A6="","",SUMIFS('Food Log'!D:D,'Food Log'!A:A,A6))</f>
        <v/>
      </c>
      <c r="D6" s="11" t="str">
        <f aca="false">IF(A6="","",SUMIFS('Food Log'!E:E,'Food Log'!A:A,A6))</f>
        <v/>
      </c>
      <c r="E6" s="11" t="str">
        <f aca="false">IF(A6="","",SUMIFS('Food Log'!F:F,'Food Log'!A:A,A6))</f>
        <v/>
      </c>
      <c r="F6" s="11" t="str">
        <f aca="false">IF(A6="","",SUMIFS('Food Log'!C:C,'Food Log'!A:A,A6,'Food Log'!G:G,"Yes*"))</f>
        <v/>
      </c>
      <c r="G6" s="11" t="str">
        <f aca="false">IF(A6="","",'Profile &amp; Targets'!$B$24)</f>
        <v/>
      </c>
      <c r="H6" s="11" t="str">
        <f aca="false">IF(A6="","",'Profile &amp; Targets'!$B$25)</f>
        <v/>
      </c>
      <c r="I6" s="11" t="str">
        <f aca="false">IF(A6="","",'Profile &amp; Targets'!$B$27)</f>
        <v/>
      </c>
      <c r="J6" s="11" t="str">
        <f aca="false">IF(A6="","",'Profile &amp; Targets'!$B$26)</f>
        <v/>
      </c>
      <c r="K6" s="11" t="str">
        <f aca="false">IF(A6="","",B6-G6)</f>
        <v/>
      </c>
      <c r="L6" s="11" t="str">
        <f aca="false">IF(A6="","",C6-H6)</f>
        <v/>
      </c>
      <c r="M6" s="11" t="str">
        <f aca="false">IF(A6="","",D6-I6)</f>
        <v/>
      </c>
      <c r="N6" s="11" t="str">
        <f aca="false">IF(A6="","",E6-J6)</f>
        <v/>
      </c>
    </row>
    <row r="7" customFormat="false" ht="15" hidden="false" customHeight="true" outlineLevel="0" collapsed="false">
      <c r="A7" s="10"/>
      <c r="B7" s="11" t="str">
        <f aca="false">IF(A7="","",SUMIFS('Food Log'!C:C,'Food Log'!A:A,A7))</f>
        <v/>
      </c>
      <c r="C7" s="11" t="str">
        <f aca="false">IF(A7="","",SUMIFS('Food Log'!D:D,'Food Log'!A:A,A7))</f>
        <v/>
      </c>
      <c r="D7" s="11" t="str">
        <f aca="false">IF(A7="","",SUMIFS('Food Log'!E:E,'Food Log'!A:A,A7))</f>
        <v/>
      </c>
      <c r="E7" s="11" t="str">
        <f aca="false">IF(A7="","",SUMIFS('Food Log'!F:F,'Food Log'!A:A,A7))</f>
        <v/>
      </c>
      <c r="F7" s="11" t="str">
        <f aca="false">IF(A7="","",SUMIFS('Food Log'!C:C,'Food Log'!A:A,A7,'Food Log'!G:G,"Yes*"))</f>
        <v/>
      </c>
      <c r="G7" s="11" t="str">
        <f aca="false">IF(A7="","",'Profile &amp; Targets'!$B$24)</f>
        <v/>
      </c>
      <c r="H7" s="11" t="str">
        <f aca="false">IF(A7="","",'Profile &amp; Targets'!$B$25)</f>
        <v/>
      </c>
      <c r="I7" s="11" t="str">
        <f aca="false">IF(A7="","",'Profile &amp; Targets'!$B$27)</f>
        <v/>
      </c>
      <c r="J7" s="11" t="str">
        <f aca="false">IF(A7="","",'Profile &amp; Targets'!$B$26)</f>
        <v/>
      </c>
      <c r="K7" s="11" t="str">
        <f aca="false">IF(A7="","",B7-G7)</f>
        <v/>
      </c>
      <c r="L7" s="11" t="str">
        <f aca="false">IF(A7="","",C7-H7)</f>
        <v/>
      </c>
      <c r="M7" s="11" t="str">
        <f aca="false">IF(A7="","",D7-I7)</f>
        <v/>
      </c>
      <c r="N7" s="11" t="str">
        <f aca="false">IF(A7="","",E7-J7)</f>
        <v/>
      </c>
    </row>
    <row r="8" customFormat="false" ht="15" hidden="false" customHeight="true" outlineLevel="0" collapsed="false">
      <c r="A8" s="10"/>
      <c r="B8" s="11" t="str">
        <f aca="false">IF(A8="","",SUMIFS('Food Log'!C:C,'Food Log'!A:A,A8))</f>
        <v/>
      </c>
      <c r="C8" s="11" t="str">
        <f aca="false">IF(A8="","",SUMIFS('Food Log'!D:D,'Food Log'!A:A,A8))</f>
        <v/>
      </c>
      <c r="D8" s="11" t="str">
        <f aca="false">IF(A8="","",SUMIFS('Food Log'!E:E,'Food Log'!A:A,A8))</f>
        <v/>
      </c>
      <c r="E8" s="11" t="str">
        <f aca="false">IF(A8="","",SUMIFS('Food Log'!F:F,'Food Log'!A:A,A8))</f>
        <v/>
      </c>
      <c r="F8" s="11" t="str">
        <f aca="false">IF(A8="","",SUMIFS('Food Log'!C:C,'Food Log'!A:A,A8,'Food Log'!G:G,"Yes*"))</f>
        <v/>
      </c>
      <c r="G8" s="11" t="str">
        <f aca="false">IF(A8="","",'Profile &amp; Targets'!$B$24)</f>
        <v/>
      </c>
      <c r="H8" s="11" t="str">
        <f aca="false">IF(A8="","",'Profile &amp; Targets'!$B$25)</f>
        <v/>
      </c>
      <c r="I8" s="11" t="str">
        <f aca="false">IF(A8="","",'Profile &amp; Targets'!$B$27)</f>
        <v/>
      </c>
      <c r="J8" s="11" t="str">
        <f aca="false">IF(A8="","",'Profile &amp; Targets'!$B$26)</f>
        <v/>
      </c>
      <c r="K8" s="11" t="str">
        <f aca="false">IF(A8="","",B8-G8)</f>
        <v/>
      </c>
      <c r="L8" s="11" t="str">
        <f aca="false">IF(A8="","",C8-H8)</f>
        <v/>
      </c>
      <c r="M8" s="11" t="str">
        <f aca="false">IF(A8="","",D8-I8)</f>
        <v/>
      </c>
      <c r="N8" s="11" t="str">
        <f aca="false">IF(A8="","",E8-J8)</f>
        <v/>
      </c>
    </row>
    <row r="9" customFormat="false" ht="15" hidden="false" customHeight="true" outlineLevel="0" collapsed="false">
      <c r="A9" s="10"/>
      <c r="B9" s="11" t="str">
        <f aca="false">IF(A9="","",SUMIFS('Food Log'!C:C,'Food Log'!A:A,A9))</f>
        <v/>
      </c>
      <c r="C9" s="11" t="str">
        <f aca="false">IF(A9="","",SUMIFS('Food Log'!D:D,'Food Log'!A:A,A9))</f>
        <v/>
      </c>
      <c r="D9" s="11" t="str">
        <f aca="false">IF(A9="","",SUMIFS('Food Log'!E:E,'Food Log'!A:A,A9))</f>
        <v/>
      </c>
      <c r="E9" s="11" t="str">
        <f aca="false">IF(A9="","",SUMIFS('Food Log'!F:F,'Food Log'!A:A,A9))</f>
        <v/>
      </c>
      <c r="F9" s="11" t="str">
        <f aca="false">IF(A9="","",SUMIFS('Food Log'!C:C,'Food Log'!A:A,A9,'Food Log'!G:G,"Yes*"))</f>
        <v/>
      </c>
      <c r="G9" s="11" t="str">
        <f aca="false">IF(A9="","",'Profile &amp; Targets'!$B$24)</f>
        <v/>
      </c>
      <c r="H9" s="11" t="str">
        <f aca="false">IF(A9="","",'Profile &amp; Targets'!$B$25)</f>
        <v/>
      </c>
      <c r="I9" s="11" t="str">
        <f aca="false">IF(A9="","",'Profile &amp; Targets'!$B$27)</f>
        <v/>
      </c>
      <c r="J9" s="11" t="str">
        <f aca="false">IF(A9="","",'Profile &amp; Targets'!$B$26)</f>
        <v/>
      </c>
      <c r="K9" s="11" t="str">
        <f aca="false">IF(A9="","",B9-G9)</f>
        <v/>
      </c>
      <c r="L9" s="11" t="str">
        <f aca="false">IF(A9="","",C9-H9)</f>
        <v/>
      </c>
      <c r="M9" s="11" t="str">
        <f aca="false">IF(A9="","",D9-I9)</f>
        <v/>
      </c>
      <c r="N9" s="11" t="str">
        <f aca="false">IF(A9="","",E9-J9)</f>
        <v/>
      </c>
    </row>
    <row r="10" customFormat="false" ht="15" hidden="false" customHeight="true" outlineLevel="0" collapsed="false">
      <c r="A10" s="10"/>
      <c r="B10" s="11" t="str">
        <f aca="false">IF(A10="","",SUMIFS('Food Log'!C:C,'Food Log'!A:A,A10))</f>
        <v/>
      </c>
      <c r="C10" s="11" t="str">
        <f aca="false">IF(A10="","",SUMIFS('Food Log'!D:D,'Food Log'!A:A,A10))</f>
        <v/>
      </c>
      <c r="D10" s="11" t="str">
        <f aca="false">IF(A10="","",SUMIFS('Food Log'!E:E,'Food Log'!A:A,A10))</f>
        <v/>
      </c>
      <c r="E10" s="11" t="str">
        <f aca="false">IF(A10="","",SUMIFS('Food Log'!F:F,'Food Log'!A:A,A10))</f>
        <v/>
      </c>
      <c r="F10" s="11" t="str">
        <f aca="false">IF(A10="","",SUMIFS('Food Log'!C:C,'Food Log'!A:A,A10,'Food Log'!G:G,"Yes*"))</f>
        <v/>
      </c>
      <c r="G10" s="11" t="str">
        <f aca="false">IF(A10="","",'Profile &amp; Targets'!$B$24)</f>
        <v/>
      </c>
      <c r="H10" s="11" t="str">
        <f aca="false">IF(A10="","",'Profile &amp; Targets'!$B$25)</f>
        <v/>
      </c>
      <c r="I10" s="11" t="str">
        <f aca="false">IF(A10="","",'Profile &amp; Targets'!$B$27)</f>
        <v/>
      </c>
      <c r="J10" s="11" t="str">
        <f aca="false">IF(A10="","",'Profile &amp; Targets'!$B$26)</f>
        <v/>
      </c>
      <c r="K10" s="11" t="str">
        <f aca="false">IF(A10="","",B10-G10)</f>
        <v/>
      </c>
      <c r="L10" s="11" t="str">
        <f aca="false">IF(A10="","",C10-H10)</f>
        <v/>
      </c>
      <c r="M10" s="11" t="str">
        <f aca="false">IF(A10="","",D10-I10)</f>
        <v/>
      </c>
      <c r="N10" s="11" t="str">
        <f aca="false">IF(A10="","",E10-J10)</f>
        <v/>
      </c>
    </row>
    <row r="11" customFormat="false" ht="15" hidden="false" customHeight="true" outlineLevel="0" collapsed="false">
      <c r="A11" s="10"/>
      <c r="B11" s="11" t="str">
        <f aca="false">IF(A11="","",SUMIFS('Food Log'!C:C,'Food Log'!A:A,A11))</f>
        <v/>
      </c>
      <c r="C11" s="11" t="str">
        <f aca="false">IF(A11="","",SUMIFS('Food Log'!D:D,'Food Log'!A:A,A11))</f>
        <v/>
      </c>
      <c r="D11" s="11" t="str">
        <f aca="false">IF(A11="","",SUMIFS('Food Log'!E:E,'Food Log'!A:A,A11))</f>
        <v/>
      </c>
      <c r="E11" s="11" t="str">
        <f aca="false">IF(A11="","",SUMIFS('Food Log'!F:F,'Food Log'!A:A,A11))</f>
        <v/>
      </c>
      <c r="F11" s="11" t="str">
        <f aca="false">IF(A11="","",SUMIFS('Food Log'!C:C,'Food Log'!A:A,A11,'Food Log'!G:G,"Yes*"))</f>
        <v/>
      </c>
      <c r="G11" s="11" t="str">
        <f aca="false">IF(A11="","",'Profile &amp; Targets'!$B$24)</f>
        <v/>
      </c>
      <c r="H11" s="11" t="str">
        <f aca="false">IF(A11="","",'Profile &amp; Targets'!$B$25)</f>
        <v/>
      </c>
      <c r="I11" s="11" t="str">
        <f aca="false">IF(A11="","",'Profile &amp; Targets'!$B$27)</f>
        <v/>
      </c>
      <c r="J11" s="11" t="str">
        <f aca="false">IF(A11="","",'Profile &amp; Targets'!$B$26)</f>
        <v/>
      </c>
      <c r="K11" s="11" t="str">
        <f aca="false">IF(A11="","",B11-G11)</f>
        <v/>
      </c>
      <c r="L11" s="11" t="str">
        <f aca="false">IF(A11="","",C11-H11)</f>
        <v/>
      </c>
      <c r="M11" s="11" t="str">
        <f aca="false">IF(A11="","",D11-I11)</f>
        <v/>
      </c>
      <c r="N11" s="11" t="str">
        <f aca="false">IF(A11="","",E11-J11)</f>
        <v/>
      </c>
    </row>
    <row r="12" customFormat="false" ht="15" hidden="false" customHeight="true" outlineLevel="0" collapsed="false">
      <c r="A12" s="10"/>
      <c r="B12" s="11" t="str">
        <f aca="false">IF(A12="","",SUMIFS('Food Log'!C:C,'Food Log'!A:A,A12))</f>
        <v/>
      </c>
      <c r="C12" s="11" t="str">
        <f aca="false">IF(A12="","",SUMIFS('Food Log'!D:D,'Food Log'!A:A,A12))</f>
        <v/>
      </c>
      <c r="D12" s="11" t="str">
        <f aca="false">IF(A12="","",SUMIFS('Food Log'!E:E,'Food Log'!A:A,A12))</f>
        <v/>
      </c>
      <c r="E12" s="11" t="str">
        <f aca="false">IF(A12="","",SUMIFS('Food Log'!F:F,'Food Log'!A:A,A12))</f>
        <v/>
      </c>
      <c r="F12" s="11" t="str">
        <f aca="false">IF(A12="","",SUMIFS('Food Log'!C:C,'Food Log'!A:A,A12,'Food Log'!G:G,"Yes*"))</f>
        <v/>
      </c>
      <c r="G12" s="11" t="str">
        <f aca="false">IF(A12="","",'Profile &amp; Targets'!$B$24)</f>
        <v/>
      </c>
      <c r="H12" s="11" t="str">
        <f aca="false">IF(A12="","",'Profile &amp; Targets'!$B$25)</f>
        <v/>
      </c>
      <c r="I12" s="11" t="str">
        <f aca="false">IF(A12="","",'Profile &amp; Targets'!$B$27)</f>
        <v/>
      </c>
      <c r="J12" s="11" t="str">
        <f aca="false">IF(A12="","",'Profile &amp; Targets'!$B$26)</f>
        <v/>
      </c>
      <c r="K12" s="11" t="str">
        <f aca="false">IF(A12="","",B12-G12)</f>
        <v/>
      </c>
      <c r="L12" s="11" t="str">
        <f aca="false">IF(A12="","",C12-H12)</f>
        <v/>
      </c>
      <c r="M12" s="11" t="str">
        <f aca="false">IF(A12="","",D12-I12)</f>
        <v/>
      </c>
      <c r="N12" s="11" t="str">
        <f aca="false">IF(A12="","",E12-J12)</f>
        <v/>
      </c>
    </row>
    <row r="13" customFormat="false" ht="15" hidden="false" customHeight="true" outlineLevel="0" collapsed="false">
      <c r="A13" s="10"/>
      <c r="B13" s="11" t="str">
        <f aca="false">IF(A13="","",SUMIFS('Food Log'!C:C,'Food Log'!A:A,A13))</f>
        <v/>
      </c>
      <c r="C13" s="11" t="str">
        <f aca="false">IF(A13="","",SUMIFS('Food Log'!D:D,'Food Log'!A:A,A13))</f>
        <v/>
      </c>
      <c r="D13" s="11" t="str">
        <f aca="false">IF(A13="","",SUMIFS('Food Log'!E:E,'Food Log'!A:A,A13))</f>
        <v/>
      </c>
      <c r="E13" s="11" t="str">
        <f aca="false">IF(A13="","",SUMIFS('Food Log'!F:F,'Food Log'!A:A,A13))</f>
        <v/>
      </c>
      <c r="F13" s="11" t="str">
        <f aca="false">IF(A13="","",SUMIFS('Food Log'!C:C,'Food Log'!A:A,A13,'Food Log'!G:G,"Yes*"))</f>
        <v/>
      </c>
      <c r="G13" s="11" t="str">
        <f aca="false">IF(A13="","",'Profile &amp; Targets'!$B$24)</f>
        <v/>
      </c>
      <c r="H13" s="11" t="str">
        <f aca="false">IF(A13="","",'Profile &amp; Targets'!$B$25)</f>
        <v/>
      </c>
      <c r="I13" s="11" t="str">
        <f aca="false">IF(A13="","",'Profile &amp; Targets'!$B$27)</f>
        <v/>
      </c>
      <c r="J13" s="11" t="str">
        <f aca="false">IF(A13="","",'Profile &amp; Targets'!$B$26)</f>
        <v/>
      </c>
      <c r="K13" s="11" t="str">
        <f aca="false">IF(A13="","",B13-G13)</f>
        <v/>
      </c>
      <c r="L13" s="11" t="str">
        <f aca="false">IF(A13="","",C13-H13)</f>
        <v/>
      </c>
      <c r="M13" s="11" t="str">
        <f aca="false">IF(A13="","",D13-I13)</f>
        <v/>
      </c>
      <c r="N13" s="11" t="str">
        <f aca="false">IF(A13="","",E13-J13)</f>
        <v/>
      </c>
    </row>
    <row r="14" customFormat="false" ht="15" hidden="false" customHeight="true" outlineLevel="0" collapsed="false">
      <c r="A14" s="10"/>
      <c r="B14" s="11" t="str">
        <f aca="false">IF(A14="","",SUMIFS('Food Log'!C:C,'Food Log'!A:A,A14))</f>
        <v/>
      </c>
      <c r="C14" s="11" t="str">
        <f aca="false">IF(A14="","",SUMIFS('Food Log'!D:D,'Food Log'!A:A,A14))</f>
        <v/>
      </c>
      <c r="D14" s="11" t="str">
        <f aca="false">IF(A14="","",SUMIFS('Food Log'!E:E,'Food Log'!A:A,A14))</f>
        <v/>
      </c>
      <c r="E14" s="11" t="str">
        <f aca="false">IF(A14="","",SUMIFS('Food Log'!F:F,'Food Log'!A:A,A14))</f>
        <v/>
      </c>
      <c r="F14" s="11" t="str">
        <f aca="false">IF(A14="","",SUMIFS('Food Log'!C:C,'Food Log'!A:A,A14,'Food Log'!G:G,"Yes*"))</f>
        <v/>
      </c>
      <c r="G14" s="11" t="str">
        <f aca="false">IF(A14="","",'Profile &amp; Targets'!$B$24)</f>
        <v/>
      </c>
      <c r="H14" s="11" t="str">
        <f aca="false">IF(A14="","",'Profile &amp; Targets'!$B$25)</f>
        <v/>
      </c>
      <c r="I14" s="11" t="str">
        <f aca="false">IF(A14="","",'Profile &amp; Targets'!$B$27)</f>
        <v/>
      </c>
      <c r="J14" s="11" t="str">
        <f aca="false">IF(A14="","",'Profile &amp; Targets'!$B$26)</f>
        <v/>
      </c>
      <c r="K14" s="11" t="str">
        <f aca="false">IF(A14="","",B14-G14)</f>
        <v/>
      </c>
      <c r="L14" s="11" t="str">
        <f aca="false">IF(A14="","",C14-H14)</f>
        <v/>
      </c>
      <c r="M14" s="11" t="str">
        <f aca="false">IF(A14="","",D14-I14)</f>
        <v/>
      </c>
      <c r="N14" s="11" t="str">
        <f aca="false">IF(A14="","",E14-J14)</f>
        <v/>
      </c>
    </row>
    <row r="15" customFormat="false" ht="15" hidden="false" customHeight="true" outlineLevel="0" collapsed="false">
      <c r="A15" s="10"/>
      <c r="B15" s="11" t="str">
        <f aca="false">IF(A15="","",SUMIFS('Food Log'!C:C,'Food Log'!A:A,A15))</f>
        <v/>
      </c>
      <c r="C15" s="11" t="str">
        <f aca="false">IF(A15="","",SUMIFS('Food Log'!D:D,'Food Log'!A:A,A15))</f>
        <v/>
      </c>
      <c r="D15" s="11" t="str">
        <f aca="false">IF(A15="","",SUMIFS('Food Log'!E:E,'Food Log'!A:A,A15))</f>
        <v/>
      </c>
      <c r="E15" s="11" t="str">
        <f aca="false">IF(A15="","",SUMIFS('Food Log'!F:F,'Food Log'!A:A,A15))</f>
        <v/>
      </c>
      <c r="F15" s="11" t="str">
        <f aca="false">IF(A15="","",SUMIFS('Food Log'!C:C,'Food Log'!A:A,A15,'Food Log'!G:G,"Yes*"))</f>
        <v/>
      </c>
      <c r="G15" s="11" t="str">
        <f aca="false">IF(A15="","",'Profile &amp; Targets'!$B$24)</f>
        <v/>
      </c>
      <c r="H15" s="11" t="str">
        <f aca="false">IF(A15="","",'Profile &amp; Targets'!$B$25)</f>
        <v/>
      </c>
      <c r="I15" s="11" t="str">
        <f aca="false">IF(A15="","",'Profile &amp; Targets'!$B$27)</f>
        <v/>
      </c>
      <c r="J15" s="11" t="str">
        <f aca="false">IF(A15="","",'Profile &amp; Targets'!$B$26)</f>
        <v/>
      </c>
      <c r="K15" s="11" t="str">
        <f aca="false">IF(A15="","",B15-G15)</f>
        <v/>
      </c>
      <c r="L15" s="11" t="str">
        <f aca="false">IF(A15="","",C15-H15)</f>
        <v/>
      </c>
      <c r="M15" s="11" t="str">
        <f aca="false">IF(A15="","",D15-I15)</f>
        <v/>
      </c>
      <c r="N15" s="11" t="str">
        <f aca="false">IF(A15="","",E15-J15)</f>
        <v/>
      </c>
    </row>
    <row r="16" customFormat="false" ht="15" hidden="false" customHeight="true" outlineLevel="0" collapsed="false">
      <c r="A16" s="10"/>
      <c r="B16" s="11" t="str">
        <f aca="false">IF(A16="","",SUMIFS('Food Log'!C:C,'Food Log'!A:A,A16))</f>
        <v/>
      </c>
      <c r="C16" s="11" t="str">
        <f aca="false">IF(A16="","",SUMIFS('Food Log'!D:D,'Food Log'!A:A,A16))</f>
        <v/>
      </c>
      <c r="D16" s="11" t="str">
        <f aca="false">IF(A16="","",SUMIFS('Food Log'!E:E,'Food Log'!A:A,A16))</f>
        <v/>
      </c>
      <c r="E16" s="11" t="str">
        <f aca="false">IF(A16="","",SUMIFS('Food Log'!F:F,'Food Log'!A:A,A16))</f>
        <v/>
      </c>
      <c r="F16" s="11" t="str">
        <f aca="false">IF(A16="","",SUMIFS('Food Log'!C:C,'Food Log'!A:A,A16,'Food Log'!G:G,"Yes*"))</f>
        <v/>
      </c>
      <c r="G16" s="11" t="str">
        <f aca="false">IF(A16="","",'Profile &amp; Targets'!$B$24)</f>
        <v/>
      </c>
      <c r="H16" s="11" t="str">
        <f aca="false">IF(A16="","",'Profile &amp; Targets'!$B$25)</f>
        <v/>
      </c>
      <c r="I16" s="11" t="str">
        <f aca="false">IF(A16="","",'Profile &amp; Targets'!$B$27)</f>
        <v/>
      </c>
      <c r="J16" s="11" t="str">
        <f aca="false">IF(A16="","",'Profile &amp; Targets'!$B$26)</f>
        <v/>
      </c>
      <c r="K16" s="11" t="str">
        <f aca="false">IF(A16="","",B16-G16)</f>
        <v/>
      </c>
      <c r="L16" s="11" t="str">
        <f aca="false">IF(A16="","",C16-H16)</f>
        <v/>
      </c>
      <c r="M16" s="11" t="str">
        <f aca="false">IF(A16="","",D16-I16)</f>
        <v/>
      </c>
      <c r="N16" s="11" t="str">
        <f aca="false">IF(A16="","",E16-J16)</f>
        <v/>
      </c>
    </row>
    <row r="17" customFormat="false" ht="15" hidden="false" customHeight="true" outlineLevel="0" collapsed="false">
      <c r="A17" s="10"/>
      <c r="B17" s="11" t="str">
        <f aca="false">IF(A17="","",SUMIFS('Food Log'!C:C,'Food Log'!A:A,A17))</f>
        <v/>
      </c>
      <c r="C17" s="11" t="str">
        <f aca="false">IF(A17="","",SUMIFS('Food Log'!D:D,'Food Log'!A:A,A17))</f>
        <v/>
      </c>
      <c r="D17" s="11" t="str">
        <f aca="false">IF(A17="","",SUMIFS('Food Log'!E:E,'Food Log'!A:A,A17))</f>
        <v/>
      </c>
      <c r="E17" s="11" t="str">
        <f aca="false">IF(A17="","",SUMIFS('Food Log'!F:F,'Food Log'!A:A,A17))</f>
        <v/>
      </c>
      <c r="F17" s="11" t="str">
        <f aca="false">IF(A17="","",SUMIFS('Food Log'!C:C,'Food Log'!A:A,A17,'Food Log'!G:G,"Yes*"))</f>
        <v/>
      </c>
      <c r="G17" s="11" t="str">
        <f aca="false">IF(A17="","",'Profile &amp; Targets'!$B$24)</f>
        <v/>
      </c>
      <c r="H17" s="11" t="str">
        <f aca="false">IF(A17="","",'Profile &amp; Targets'!$B$25)</f>
        <v/>
      </c>
      <c r="I17" s="11" t="str">
        <f aca="false">IF(A17="","",'Profile &amp; Targets'!$B$27)</f>
        <v/>
      </c>
      <c r="J17" s="11" t="str">
        <f aca="false">IF(A17="","",'Profile &amp; Targets'!$B$26)</f>
        <v/>
      </c>
      <c r="K17" s="11" t="str">
        <f aca="false">IF(A17="","",B17-G17)</f>
        <v/>
      </c>
      <c r="L17" s="11" t="str">
        <f aca="false">IF(A17="","",C17-H17)</f>
        <v/>
      </c>
      <c r="M17" s="11" t="str">
        <f aca="false">IF(A17="","",D17-I17)</f>
        <v/>
      </c>
      <c r="N17" s="11" t="str">
        <f aca="false">IF(A17="","",E17-J17)</f>
        <v/>
      </c>
    </row>
    <row r="18" customFormat="false" ht="15" hidden="false" customHeight="true" outlineLevel="0" collapsed="false">
      <c r="A18" s="10"/>
      <c r="B18" s="11" t="str">
        <f aca="false">IF(A18="","",SUMIFS('Food Log'!C:C,'Food Log'!A:A,A18))</f>
        <v/>
      </c>
      <c r="C18" s="11" t="str">
        <f aca="false">IF(A18="","",SUMIFS('Food Log'!D:D,'Food Log'!A:A,A18))</f>
        <v/>
      </c>
      <c r="D18" s="11" t="str">
        <f aca="false">IF(A18="","",SUMIFS('Food Log'!E:E,'Food Log'!A:A,A18))</f>
        <v/>
      </c>
      <c r="E18" s="11" t="str">
        <f aca="false">IF(A18="","",SUMIFS('Food Log'!F:F,'Food Log'!A:A,A18))</f>
        <v/>
      </c>
      <c r="F18" s="11" t="str">
        <f aca="false">IF(A18="","",SUMIFS('Food Log'!C:C,'Food Log'!A:A,A18,'Food Log'!G:G,"Yes*"))</f>
        <v/>
      </c>
      <c r="G18" s="11" t="str">
        <f aca="false">IF(A18="","",'Profile &amp; Targets'!$B$24)</f>
        <v/>
      </c>
      <c r="H18" s="11" t="str">
        <f aca="false">IF(A18="","",'Profile &amp; Targets'!$B$25)</f>
        <v/>
      </c>
      <c r="I18" s="11" t="str">
        <f aca="false">IF(A18="","",'Profile &amp; Targets'!$B$27)</f>
        <v/>
      </c>
      <c r="J18" s="11" t="str">
        <f aca="false">IF(A18="","",'Profile &amp; Targets'!$B$26)</f>
        <v/>
      </c>
      <c r="K18" s="11" t="str">
        <f aca="false">IF(A18="","",B18-G18)</f>
        <v/>
      </c>
      <c r="L18" s="11" t="str">
        <f aca="false">IF(A18="","",C18-H18)</f>
        <v/>
      </c>
      <c r="M18" s="11" t="str">
        <f aca="false">IF(A18="","",D18-I18)</f>
        <v/>
      </c>
      <c r="N18" s="11" t="str">
        <f aca="false">IF(A18="","",E18-J18)</f>
        <v/>
      </c>
    </row>
    <row r="19" customFormat="false" ht="15" hidden="false" customHeight="true" outlineLevel="0" collapsed="false">
      <c r="A19" s="10"/>
      <c r="B19" s="11" t="str">
        <f aca="false">IF(A19="","",SUMIFS('Food Log'!C:C,'Food Log'!A:A,A19))</f>
        <v/>
      </c>
      <c r="C19" s="11" t="str">
        <f aca="false">IF(A19="","",SUMIFS('Food Log'!D:D,'Food Log'!A:A,A19))</f>
        <v/>
      </c>
      <c r="D19" s="11" t="str">
        <f aca="false">IF(A19="","",SUMIFS('Food Log'!E:E,'Food Log'!A:A,A19))</f>
        <v/>
      </c>
      <c r="E19" s="11" t="str">
        <f aca="false">IF(A19="","",SUMIFS('Food Log'!F:F,'Food Log'!A:A,A19))</f>
        <v/>
      </c>
      <c r="F19" s="11" t="str">
        <f aca="false">IF(A19="","",SUMIFS('Food Log'!C:C,'Food Log'!A:A,A19,'Food Log'!G:G,"Yes*"))</f>
        <v/>
      </c>
      <c r="G19" s="11" t="str">
        <f aca="false">IF(A19="","",'Profile &amp; Targets'!$B$24)</f>
        <v/>
      </c>
      <c r="H19" s="11" t="str">
        <f aca="false">IF(A19="","",'Profile &amp; Targets'!$B$25)</f>
        <v/>
      </c>
      <c r="I19" s="11" t="str">
        <f aca="false">IF(A19="","",'Profile &amp; Targets'!$B$27)</f>
        <v/>
      </c>
      <c r="J19" s="11" t="str">
        <f aca="false">IF(A19="","",'Profile &amp; Targets'!$B$26)</f>
        <v/>
      </c>
      <c r="K19" s="11" t="str">
        <f aca="false">IF(A19="","",B19-G19)</f>
        <v/>
      </c>
      <c r="L19" s="11" t="str">
        <f aca="false">IF(A19="","",C19-H19)</f>
        <v/>
      </c>
      <c r="M19" s="11" t="str">
        <f aca="false">IF(A19="","",D19-I19)</f>
        <v/>
      </c>
      <c r="N19" s="11" t="str">
        <f aca="false">IF(A19="","",E19-J19)</f>
        <v/>
      </c>
    </row>
    <row r="20" customFormat="false" ht="15" hidden="false" customHeight="true" outlineLevel="0" collapsed="false">
      <c r="A20" s="10"/>
      <c r="B20" s="11" t="str">
        <f aca="false">IF(A20="","",SUMIFS('Food Log'!C:C,'Food Log'!A:A,A20))</f>
        <v/>
      </c>
      <c r="C20" s="11" t="str">
        <f aca="false">IF(A20="","",SUMIFS('Food Log'!D:D,'Food Log'!A:A,A20))</f>
        <v/>
      </c>
      <c r="D20" s="11" t="str">
        <f aca="false">IF(A20="","",SUMIFS('Food Log'!E:E,'Food Log'!A:A,A20))</f>
        <v/>
      </c>
      <c r="E20" s="11" t="str">
        <f aca="false">IF(A20="","",SUMIFS('Food Log'!F:F,'Food Log'!A:A,A20))</f>
        <v/>
      </c>
      <c r="F20" s="11" t="str">
        <f aca="false">IF(A20="","",SUMIFS('Food Log'!C:C,'Food Log'!A:A,A20,'Food Log'!G:G,"Yes*"))</f>
        <v/>
      </c>
      <c r="G20" s="11" t="str">
        <f aca="false">IF(A20="","",'Profile &amp; Targets'!$B$24)</f>
        <v/>
      </c>
      <c r="H20" s="11" t="str">
        <f aca="false">IF(A20="","",'Profile &amp; Targets'!$B$25)</f>
        <v/>
      </c>
      <c r="I20" s="11" t="str">
        <f aca="false">IF(A20="","",'Profile &amp; Targets'!$B$27)</f>
        <v/>
      </c>
      <c r="J20" s="11" t="str">
        <f aca="false">IF(A20="","",'Profile &amp; Targets'!$B$26)</f>
        <v/>
      </c>
      <c r="K20" s="11" t="str">
        <f aca="false">IF(A20="","",B20-G20)</f>
        <v/>
      </c>
      <c r="L20" s="11" t="str">
        <f aca="false">IF(A20="","",C20-H20)</f>
        <v/>
      </c>
      <c r="M20" s="11" t="str">
        <f aca="false">IF(A20="","",D20-I20)</f>
        <v/>
      </c>
      <c r="N20" s="11" t="str">
        <f aca="false">IF(A20="","",E20-J20)</f>
        <v/>
      </c>
    </row>
    <row r="21" customFormat="false" ht="15" hidden="false" customHeight="true" outlineLevel="0" collapsed="false">
      <c r="A21" s="10"/>
      <c r="B21" s="11" t="str">
        <f aca="false">IF(A21="","",SUMIFS('Food Log'!C:C,'Food Log'!A:A,A21))</f>
        <v/>
      </c>
      <c r="C21" s="11" t="str">
        <f aca="false">IF(A21="","",SUMIFS('Food Log'!D:D,'Food Log'!A:A,A21))</f>
        <v/>
      </c>
      <c r="D21" s="11" t="str">
        <f aca="false">IF(A21="","",SUMIFS('Food Log'!E:E,'Food Log'!A:A,A21))</f>
        <v/>
      </c>
      <c r="E21" s="11" t="str">
        <f aca="false">IF(A21="","",SUMIFS('Food Log'!F:F,'Food Log'!A:A,A21))</f>
        <v/>
      </c>
      <c r="F21" s="11" t="str">
        <f aca="false">IF(A21="","",SUMIFS('Food Log'!C:C,'Food Log'!A:A,A21,'Food Log'!G:G,"Yes*"))</f>
        <v/>
      </c>
      <c r="G21" s="11" t="str">
        <f aca="false">IF(A21="","",'Profile &amp; Targets'!$B$24)</f>
        <v/>
      </c>
      <c r="H21" s="11" t="str">
        <f aca="false">IF(A21="","",'Profile &amp; Targets'!$B$25)</f>
        <v/>
      </c>
      <c r="I21" s="11" t="str">
        <f aca="false">IF(A21="","",'Profile &amp; Targets'!$B$27)</f>
        <v/>
      </c>
      <c r="J21" s="11" t="str">
        <f aca="false">IF(A21="","",'Profile &amp; Targets'!$B$26)</f>
        <v/>
      </c>
      <c r="K21" s="11" t="str">
        <f aca="false">IF(A21="","",B21-G21)</f>
        <v/>
      </c>
      <c r="L21" s="11" t="str">
        <f aca="false">IF(A21="","",C21-H21)</f>
        <v/>
      </c>
      <c r="M21" s="11" t="str">
        <f aca="false">IF(A21="","",D21-I21)</f>
        <v/>
      </c>
      <c r="N21" s="11" t="str">
        <f aca="false">IF(A21="","",E21-J21)</f>
        <v/>
      </c>
    </row>
    <row r="22" customFormat="false" ht="15" hidden="false" customHeight="true" outlineLevel="0" collapsed="false">
      <c r="A22" s="10"/>
      <c r="B22" s="11" t="str">
        <f aca="false">IF(A22="","",SUMIFS('Food Log'!C:C,'Food Log'!A:A,A22))</f>
        <v/>
      </c>
      <c r="C22" s="11" t="str">
        <f aca="false">IF(A22="","",SUMIFS('Food Log'!D:D,'Food Log'!A:A,A22))</f>
        <v/>
      </c>
      <c r="D22" s="11" t="str">
        <f aca="false">IF(A22="","",SUMIFS('Food Log'!E:E,'Food Log'!A:A,A22))</f>
        <v/>
      </c>
      <c r="E22" s="11" t="str">
        <f aca="false">IF(A22="","",SUMIFS('Food Log'!F:F,'Food Log'!A:A,A22))</f>
        <v/>
      </c>
      <c r="F22" s="11" t="str">
        <f aca="false">IF(A22="","",SUMIFS('Food Log'!C:C,'Food Log'!A:A,A22,'Food Log'!G:G,"Yes*"))</f>
        <v/>
      </c>
      <c r="G22" s="11" t="str">
        <f aca="false">IF(A22="","",'Profile &amp; Targets'!$B$24)</f>
        <v/>
      </c>
      <c r="H22" s="11" t="str">
        <f aca="false">IF(A22="","",'Profile &amp; Targets'!$B$25)</f>
        <v/>
      </c>
      <c r="I22" s="11" t="str">
        <f aca="false">IF(A22="","",'Profile &amp; Targets'!$B$27)</f>
        <v/>
      </c>
      <c r="J22" s="11" t="str">
        <f aca="false">IF(A22="","",'Profile &amp; Targets'!$B$26)</f>
        <v/>
      </c>
      <c r="K22" s="11" t="str">
        <f aca="false">IF(A22="","",B22-G22)</f>
        <v/>
      </c>
      <c r="L22" s="11" t="str">
        <f aca="false">IF(A22="","",C22-H22)</f>
        <v/>
      </c>
      <c r="M22" s="11" t="str">
        <f aca="false">IF(A22="","",D22-I22)</f>
        <v/>
      </c>
      <c r="N22" s="11" t="str">
        <f aca="false">IF(A22="","",E22-J22)</f>
        <v/>
      </c>
    </row>
    <row r="23" customFormat="false" ht="15" hidden="false" customHeight="true" outlineLevel="0" collapsed="false">
      <c r="A23" s="10"/>
      <c r="B23" s="11" t="str">
        <f aca="false">IF(A23="","",SUMIFS('Food Log'!C:C,'Food Log'!A:A,A23))</f>
        <v/>
      </c>
      <c r="C23" s="11" t="str">
        <f aca="false">IF(A23="","",SUMIFS('Food Log'!D:D,'Food Log'!A:A,A23))</f>
        <v/>
      </c>
      <c r="D23" s="11" t="str">
        <f aca="false">IF(A23="","",SUMIFS('Food Log'!E:E,'Food Log'!A:A,A23))</f>
        <v/>
      </c>
      <c r="E23" s="11" t="str">
        <f aca="false">IF(A23="","",SUMIFS('Food Log'!F:F,'Food Log'!A:A,A23))</f>
        <v/>
      </c>
      <c r="F23" s="11" t="str">
        <f aca="false">IF(A23="","",SUMIFS('Food Log'!C:C,'Food Log'!A:A,A23,'Food Log'!G:G,"Yes*"))</f>
        <v/>
      </c>
      <c r="G23" s="11" t="str">
        <f aca="false">IF(A23="","",'Profile &amp; Targets'!$B$24)</f>
        <v/>
      </c>
      <c r="H23" s="11" t="str">
        <f aca="false">IF(A23="","",'Profile &amp; Targets'!$B$25)</f>
        <v/>
      </c>
      <c r="I23" s="11" t="str">
        <f aca="false">IF(A23="","",'Profile &amp; Targets'!$B$27)</f>
        <v/>
      </c>
      <c r="J23" s="11" t="str">
        <f aca="false">IF(A23="","",'Profile &amp; Targets'!$B$26)</f>
        <v/>
      </c>
      <c r="K23" s="11" t="str">
        <f aca="false">IF(A23="","",B23-G23)</f>
        <v/>
      </c>
      <c r="L23" s="11" t="str">
        <f aca="false">IF(A23="","",C23-H23)</f>
        <v/>
      </c>
      <c r="M23" s="11" t="str">
        <f aca="false">IF(A23="","",D23-I23)</f>
        <v/>
      </c>
      <c r="N23" s="11" t="str">
        <f aca="false">IF(A23="","",E23-J23)</f>
        <v/>
      </c>
    </row>
    <row r="24" customFormat="false" ht="15" hidden="false" customHeight="true" outlineLevel="0" collapsed="false">
      <c r="A24" s="10"/>
      <c r="B24" s="11" t="str">
        <f aca="false">IF(A24="","",SUMIFS('Food Log'!C:C,'Food Log'!A:A,A24))</f>
        <v/>
      </c>
      <c r="C24" s="11" t="str">
        <f aca="false">IF(A24="","",SUMIFS('Food Log'!D:D,'Food Log'!A:A,A24))</f>
        <v/>
      </c>
      <c r="D24" s="11" t="str">
        <f aca="false">IF(A24="","",SUMIFS('Food Log'!E:E,'Food Log'!A:A,A24))</f>
        <v/>
      </c>
      <c r="E24" s="11" t="str">
        <f aca="false">IF(A24="","",SUMIFS('Food Log'!F:F,'Food Log'!A:A,A24))</f>
        <v/>
      </c>
      <c r="F24" s="11" t="str">
        <f aca="false">IF(A24="","",SUMIFS('Food Log'!C:C,'Food Log'!A:A,A24,'Food Log'!G:G,"Yes*"))</f>
        <v/>
      </c>
      <c r="G24" s="11" t="str">
        <f aca="false">IF(A24="","",'Profile &amp; Targets'!$B$24)</f>
        <v/>
      </c>
      <c r="H24" s="11" t="str">
        <f aca="false">IF(A24="","",'Profile &amp; Targets'!$B$25)</f>
        <v/>
      </c>
      <c r="I24" s="11" t="str">
        <f aca="false">IF(A24="","",'Profile &amp; Targets'!$B$27)</f>
        <v/>
      </c>
      <c r="J24" s="11" t="str">
        <f aca="false">IF(A24="","",'Profile &amp; Targets'!$B$26)</f>
        <v/>
      </c>
      <c r="K24" s="11" t="str">
        <f aca="false">IF(A24="","",B24-G24)</f>
        <v/>
      </c>
      <c r="L24" s="11" t="str">
        <f aca="false">IF(A24="","",C24-H24)</f>
        <v/>
      </c>
      <c r="M24" s="11" t="str">
        <f aca="false">IF(A24="","",D24-I24)</f>
        <v/>
      </c>
      <c r="N24" s="11" t="str">
        <f aca="false">IF(A24="","",E24-J24)</f>
        <v/>
      </c>
    </row>
    <row r="25" customFormat="false" ht="15" hidden="false" customHeight="true" outlineLevel="0" collapsed="false">
      <c r="A25" s="10"/>
      <c r="B25" s="11" t="str">
        <f aca="false">IF(A25="","",SUMIFS('Food Log'!C:C,'Food Log'!A:A,A25))</f>
        <v/>
      </c>
      <c r="C25" s="11" t="str">
        <f aca="false">IF(A25="","",SUMIFS('Food Log'!D:D,'Food Log'!A:A,A25))</f>
        <v/>
      </c>
      <c r="D25" s="11" t="str">
        <f aca="false">IF(A25="","",SUMIFS('Food Log'!E:E,'Food Log'!A:A,A25))</f>
        <v/>
      </c>
      <c r="E25" s="11" t="str">
        <f aca="false">IF(A25="","",SUMIFS('Food Log'!F:F,'Food Log'!A:A,A25))</f>
        <v/>
      </c>
      <c r="F25" s="11" t="str">
        <f aca="false">IF(A25="","",SUMIFS('Food Log'!C:C,'Food Log'!A:A,A25,'Food Log'!G:G,"Yes*"))</f>
        <v/>
      </c>
      <c r="G25" s="11" t="str">
        <f aca="false">IF(A25="","",'Profile &amp; Targets'!$B$24)</f>
        <v/>
      </c>
      <c r="H25" s="11" t="str">
        <f aca="false">IF(A25="","",'Profile &amp; Targets'!$B$25)</f>
        <v/>
      </c>
      <c r="I25" s="11" t="str">
        <f aca="false">IF(A25="","",'Profile &amp; Targets'!$B$27)</f>
        <v/>
      </c>
      <c r="J25" s="11" t="str">
        <f aca="false">IF(A25="","",'Profile &amp; Targets'!$B$26)</f>
        <v/>
      </c>
      <c r="K25" s="11" t="str">
        <f aca="false">IF(A25="","",B25-G25)</f>
        <v/>
      </c>
      <c r="L25" s="11" t="str">
        <f aca="false">IF(A25="","",C25-H25)</f>
        <v/>
      </c>
      <c r="M25" s="11" t="str">
        <f aca="false">IF(A25="","",D25-I25)</f>
        <v/>
      </c>
      <c r="N25" s="11" t="str">
        <f aca="false">IF(A25="","",E25-J25)</f>
        <v/>
      </c>
    </row>
    <row r="26" customFormat="false" ht="15" hidden="false" customHeight="true" outlineLevel="0" collapsed="false">
      <c r="A26" s="10"/>
      <c r="B26" s="11" t="str">
        <f aca="false">IF(A26="","",SUMIFS('Food Log'!C:C,'Food Log'!A:A,A26))</f>
        <v/>
      </c>
      <c r="C26" s="11" t="str">
        <f aca="false">IF(A26="","",SUMIFS('Food Log'!D:D,'Food Log'!A:A,A26))</f>
        <v/>
      </c>
      <c r="D26" s="11" t="str">
        <f aca="false">IF(A26="","",SUMIFS('Food Log'!E:E,'Food Log'!A:A,A26))</f>
        <v/>
      </c>
      <c r="E26" s="11" t="str">
        <f aca="false">IF(A26="","",SUMIFS('Food Log'!F:F,'Food Log'!A:A,A26))</f>
        <v/>
      </c>
      <c r="F26" s="11" t="str">
        <f aca="false">IF(A26="","",SUMIFS('Food Log'!C:C,'Food Log'!A:A,A26,'Food Log'!G:G,"Yes*"))</f>
        <v/>
      </c>
      <c r="G26" s="11" t="str">
        <f aca="false">IF(A26="","",'Profile &amp; Targets'!$B$24)</f>
        <v/>
      </c>
      <c r="H26" s="11" t="str">
        <f aca="false">IF(A26="","",'Profile &amp; Targets'!$B$25)</f>
        <v/>
      </c>
      <c r="I26" s="11" t="str">
        <f aca="false">IF(A26="","",'Profile &amp; Targets'!$B$27)</f>
        <v/>
      </c>
      <c r="J26" s="11" t="str">
        <f aca="false">IF(A26="","",'Profile &amp; Targets'!$B$26)</f>
        <v/>
      </c>
      <c r="K26" s="11" t="str">
        <f aca="false">IF(A26="","",B26-G26)</f>
        <v/>
      </c>
      <c r="L26" s="11" t="str">
        <f aca="false">IF(A26="","",C26-H26)</f>
        <v/>
      </c>
      <c r="M26" s="11" t="str">
        <f aca="false">IF(A26="","",D26-I26)</f>
        <v/>
      </c>
      <c r="N26" s="11" t="str">
        <f aca="false">IF(A26="","",E26-J26)</f>
        <v/>
      </c>
    </row>
    <row r="27" customFormat="false" ht="15" hidden="false" customHeight="true" outlineLevel="0" collapsed="false">
      <c r="A27" s="10"/>
      <c r="B27" s="11" t="str">
        <f aca="false">IF(A27="","",SUMIFS('Food Log'!C:C,'Food Log'!A:A,A27))</f>
        <v/>
      </c>
      <c r="C27" s="11" t="str">
        <f aca="false">IF(A27="","",SUMIFS('Food Log'!D:D,'Food Log'!A:A,A27))</f>
        <v/>
      </c>
      <c r="D27" s="11" t="str">
        <f aca="false">IF(A27="","",SUMIFS('Food Log'!E:E,'Food Log'!A:A,A27))</f>
        <v/>
      </c>
      <c r="E27" s="11" t="str">
        <f aca="false">IF(A27="","",SUMIFS('Food Log'!F:F,'Food Log'!A:A,A27))</f>
        <v/>
      </c>
      <c r="F27" s="11" t="str">
        <f aca="false">IF(A27="","",SUMIFS('Food Log'!C:C,'Food Log'!A:A,A27,'Food Log'!G:G,"Yes*"))</f>
        <v/>
      </c>
      <c r="G27" s="11" t="str">
        <f aca="false">IF(A27="","",'Profile &amp; Targets'!$B$24)</f>
        <v/>
      </c>
      <c r="H27" s="11" t="str">
        <f aca="false">IF(A27="","",'Profile &amp; Targets'!$B$25)</f>
        <v/>
      </c>
      <c r="I27" s="11" t="str">
        <f aca="false">IF(A27="","",'Profile &amp; Targets'!$B$27)</f>
        <v/>
      </c>
      <c r="J27" s="11" t="str">
        <f aca="false">IF(A27="","",'Profile &amp; Targets'!$B$26)</f>
        <v/>
      </c>
      <c r="K27" s="11" t="str">
        <f aca="false">IF(A27="","",B27-G27)</f>
        <v/>
      </c>
      <c r="L27" s="11" t="str">
        <f aca="false">IF(A27="","",C27-H27)</f>
        <v/>
      </c>
      <c r="M27" s="11" t="str">
        <f aca="false">IF(A27="","",D27-I27)</f>
        <v/>
      </c>
      <c r="N27" s="11" t="str">
        <f aca="false">IF(A27="","",E27-J27)</f>
        <v/>
      </c>
    </row>
    <row r="28" customFormat="false" ht="15" hidden="false" customHeight="true" outlineLevel="0" collapsed="false">
      <c r="A28" s="10"/>
      <c r="B28" s="11" t="str">
        <f aca="false">IF(A28="","",SUMIFS('Food Log'!C:C,'Food Log'!A:A,A28))</f>
        <v/>
      </c>
      <c r="C28" s="11" t="str">
        <f aca="false">IF(A28="","",SUMIFS('Food Log'!D:D,'Food Log'!A:A,A28))</f>
        <v/>
      </c>
      <c r="D28" s="11" t="str">
        <f aca="false">IF(A28="","",SUMIFS('Food Log'!E:E,'Food Log'!A:A,A28))</f>
        <v/>
      </c>
      <c r="E28" s="11" t="str">
        <f aca="false">IF(A28="","",SUMIFS('Food Log'!F:F,'Food Log'!A:A,A28))</f>
        <v/>
      </c>
      <c r="F28" s="11" t="str">
        <f aca="false">IF(A28="","",SUMIFS('Food Log'!C:C,'Food Log'!A:A,A28,'Food Log'!G:G,"Yes*"))</f>
        <v/>
      </c>
      <c r="G28" s="11" t="str">
        <f aca="false">IF(A28="","",'Profile &amp; Targets'!$B$24)</f>
        <v/>
      </c>
      <c r="H28" s="11" t="str">
        <f aca="false">IF(A28="","",'Profile &amp; Targets'!$B$25)</f>
        <v/>
      </c>
      <c r="I28" s="11" t="str">
        <f aca="false">IF(A28="","",'Profile &amp; Targets'!$B$27)</f>
        <v/>
      </c>
      <c r="J28" s="11" t="str">
        <f aca="false">IF(A28="","",'Profile &amp; Targets'!$B$26)</f>
        <v/>
      </c>
      <c r="K28" s="11" t="str">
        <f aca="false">IF(A28="","",B28-G28)</f>
        <v/>
      </c>
      <c r="L28" s="11" t="str">
        <f aca="false">IF(A28="","",C28-H28)</f>
        <v/>
      </c>
      <c r="M28" s="11" t="str">
        <f aca="false">IF(A28="","",D28-I28)</f>
        <v/>
      </c>
      <c r="N28" s="11" t="str">
        <f aca="false">IF(A28="","",E28-J28)</f>
        <v/>
      </c>
    </row>
    <row r="29" customFormat="false" ht="15" hidden="false" customHeight="true" outlineLevel="0" collapsed="false">
      <c r="A29" s="10"/>
      <c r="B29" s="11" t="str">
        <f aca="false">IF(A29="","",SUMIFS('Food Log'!C:C,'Food Log'!A:A,A29))</f>
        <v/>
      </c>
      <c r="C29" s="11" t="str">
        <f aca="false">IF(A29="","",SUMIFS('Food Log'!D:D,'Food Log'!A:A,A29))</f>
        <v/>
      </c>
      <c r="D29" s="11" t="str">
        <f aca="false">IF(A29="","",SUMIFS('Food Log'!E:E,'Food Log'!A:A,A29))</f>
        <v/>
      </c>
      <c r="E29" s="11" t="str">
        <f aca="false">IF(A29="","",SUMIFS('Food Log'!F:F,'Food Log'!A:A,A29))</f>
        <v/>
      </c>
      <c r="F29" s="11" t="str">
        <f aca="false">IF(A29="","",SUMIFS('Food Log'!C:C,'Food Log'!A:A,A29,'Food Log'!G:G,"Yes*"))</f>
        <v/>
      </c>
      <c r="G29" s="11" t="str">
        <f aca="false">IF(A29="","",'Profile &amp; Targets'!$B$24)</f>
        <v/>
      </c>
      <c r="H29" s="11" t="str">
        <f aca="false">IF(A29="","",'Profile &amp; Targets'!$B$25)</f>
        <v/>
      </c>
      <c r="I29" s="11" t="str">
        <f aca="false">IF(A29="","",'Profile &amp; Targets'!$B$27)</f>
        <v/>
      </c>
      <c r="J29" s="11" t="str">
        <f aca="false">IF(A29="","",'Profile &amp; Targets'!$B$26)</f>
        <v/>
      </c>
      <c r="K29" s="11" t="str">
        <f aca="false">IF(A29="","",B29-G29)</f>
        <v/>
      </c>
      <c r="L29" s="11" t="str">
        <f aca="false">IF(A29="","",C29-H29)</f>
        <v/>
      </c>
      <c r="M29" s="11" t="str">
        <f aca="false">IF(A29="","",D29-I29)</f>
        <v/>
      </c>
      <c r="N29" s="11" t="str">
        <f aca="false">IF(A29="","",E29-J29)</f>
        <v/>
      </c>
    </row>
    <row r="30" customFormat="false" ht="15" hidden="false" customHeight="true" outlineLevel="0" collapsed="false">
      <c r="A30" s="10"/>
      <c r="B30" s="11" t="str">
        <f aca="false">IF(A30="","",SUMIFS('Food Log'!C:C,'Food Log'!A:A,A30))</f>
        <v/>
      </c>
      <c r="C30" s="11" t="str">
        <f aca="false">IF(A30="","",SUMIFS('Food Log'!D:D,'Food Log'!A:A,A30))</f>
        <v/>
      </c>
      <c r="D30" s="11" t="str">
        <f aca="false">IF(A30="","",SUMIFS('Food Log'!E:E,'Food Log'!A:A,A30))</f>
        <v/>
      </c>
      <c r="E30" s="11" t="str">
        <f aca="false">IF(A30="","",SUMIFS('Food Log'!F:F,'Food Log'!A:A,A30))</f>
        <v/>
      </c>
      <c r="F30" s="11" t="str">
        <f aca="false">IF(A30="","",SUMIFS('Food Log'!C:C,'Food Log'!A:A,A30,'Food Log'!G:G,"Yes*"))</f>
        <v/>
      </c>
      <c r="G30" s="11" t="str">
        <f aca="false">IF(A30="","",'Profile &amp; Targets'!$B$24)</f>
        <v/>
      </c>
      <c r="H30" s="11" t="str">
        <f aca="false">IF(A30="","",'Profile &amp; Targets'!$B$25)</f>
        <v/>
      </c>
      <c r="I30" s="11" t="str">
        <f aca="false">IF(A30="","",'Profile &amp; Targets'!$B$27)</f>
        <v/>
      </c>
      <c r="J30" s="11" t="str">
        <f aca="false">IF(A30="","",'Profile &amp; Targets'!$B$26)</f>
        <v/>
      </c>
      <c r="K30" s="11" t="str">
        <f aca="false">IF(A30="","",B30-G30)</f>
        <v/>
      </c>
      <c r="L30" s="11" t="str">
        <f aca="false">IF(A30="","",C30-H30)</f>
        <v/>
      </c>
      <c r="M30" s="11" t="str">
        <f aca="false">IF(A30="","",D30-I30)</f>
        <v/>
      </c>
      <c r="N30" s="11" t="str">
        <f aca="false">IF(A30="","",E30-J30)</f>
        <v/>
      </c>
    </row>
    <row r="31" customFormat="false" ht="15" hidden="false" customHeight="true" outlineLevel="0" collapsed="false">
      <c r="A31" s="10"/>
      <c r="B31" s="11" t="str">
        <f aca="false">IF(A31="","",SUMIFS('Food Log'!C:C,'Food Log'!A:A,A31))</f>
        <v/>
      </c>
      <c r="C31" s="11" t="str">
        <f aca="false">IF(A31="","",SUMIFS('Food Log'!D:D,'Food Log'!A:A,A31))</f>
        <v/>
      </c>
      <c r="D31" s="11" t="str">
        <f aca="false">IF(A31="","",SUMIFS('Food Log'!E:E,'Food Log'!A:A,A31))</f>
        <v/>
      </c>
      <c r="E31" s="11" t="str">
        <f aca="false">IF(A31="","",SUMIFS('Food Log'!F:F,'Food Log'!A:A,A31))</f>
        <v/>
      </c>
      <c r="F31" s="11" t="str">
        <f aca="false">IF(A31="","",SUMIFS('Food Log'!C:C,'Food Log'!A:A,A31,'Food Log'!G:G,"Yes*"))</f>
        <v/>
      </c>
      <c r="G31" s="11" t="str">
        <f aca="false">IF(A31="","",'Profile &amp; Targets'!$B$24)</f>
        <v/>
      </c>
      <c r="H31" s="11" t="str">
        <f aca="false">IF(A31="","",'Profile &amp; Targets'!$B$25)</f>
        <v/>
      </c>
      <c r="I31" s="11" t="str">
        <f aca="false">IF(A31="","",'Profile &amp; Targets'!$B$27)</f>
        <v/>
      </c>
      <c r="J31" s="11" t="str">
        <f aca="false">IF(A31="","",'Profile &amp; Targets'!$B$26)</f>
        <v/>
      </c>
      <c r="K31" s="11" t="str">
        <f aca="false">IF(A31="","",B31-G31)</f>
        <v/>
      </c>
      <c r="L31" s="11" t="str">
        <f aca="false">IF(A31="","",C31-H31)</f>
        <v/>
      </c>
      <c r="M31" s="11" t="str">
        <f aca="false">IF(A31="","",D31-I31)</f>
        <v/>
      </c>
      <c r="N31" s="11" t="str">
        <f aca="false">IF(A31="","",E31-J31)</f>
        <v/>
      </c>
    </row>
    <row r="32" customFormat="false" ht="15" hidden="false" customHeight="true" outlineLevel="0" collapsed="false">
      <c r="A32" s="10"/>
      <c r="B32" s="11" t="str">
        <f aca="false">IF(A32="","",SUMIFS('Food Log'!C:C,'Food Log'!A:A,A32))</f>
        <v/>
      </c>
      <c r="C32" s="11" t="str">
        <f aca="false">IF(A32="","",SUMIFS('Food Log'!D:D,'Food Log'!A:A,A32))</f>
        <v/>
      </c>
      <c r="D32" s="11" t="str">
        <f aca="false">IF(A32="","",SUMIFS('Food Log'!E:E,'Food Log'!A:A,A32))</f>
        <v/>
      </c>
      <c r="E32" s="11" t="str">
        <f aca="false">IF(A32="","",SUMIFS('Food Log'!F:F,'Food Log'!A:A,A32))</f>
        <v/>
      </c>
      <c r="F32" s="11" t="str">
        <f aca="false">IF(A32="","",SUMIFS('Food Log'!C:C,'Food Log'!A:A,A32,'Food Log'!G:G,"Yes*"))</f>
        <v/>
      </c>
      <c r="G32" s="11" t="str">
        <f aca="false">IF(A32="","",'Profile &amp; Targets'!$B$24)</f>
        <v/>
      </c>
      <c r="H32" s="11" t="str">
        <f aca="false">IF(A32="","",'Profile &amp; Targets'!$B$25)</f>
        <v/>
      </c>
      <c r="I32" s="11" t="str">
        <f aca="false">IF(A32="","",'Profile &amp; Targets'!$B$27)</f>
        <v/>
      </c>
      <c r="J32" s="11" t="str">
        <f aca="false">IF(A32="","",'Profile &amp; Targets'!$B$26)</f>
        <v/>
      </c>
      <c r="K32" s="11" t="str">
        <f aca="false">IF(A32="","",B32-G32)</f>
        <v/>
      </c>
      <c r="L32" s="11" t="str">
        <f aca="false">IF(A32="","",C32-H32)</f>
        <v/>
      </c>
      <c r="M32" s="11" t="str">
        <f aca="false">IF(A32="","",D32-I32)</f>
        <v/>
      </c>
      <c r="N32" s="11" t="str">
        <f aca="false">IF(A32="","",E32-J32)</f>
        <v/>
      </c>
    </row>
    <row r="33" customFormat="false" ht="15" hidden="false" customHeight="true" outlineLevel="0" collapsed="false">
      <c r="A33" s="10"/>
      <c r="B33" s="11" t="str">
        <f aca="false">IF(A33="","",SUMIFS('Food Log'!C:C,'Food Log'!A:A,A33))</f>
        <v/>
      </c>
      <c r="C33" s="11" t="str">
        <f aca="false">IF(A33="","",SUMIFS('Food Log'!D:D,'Food Log'!A:A,A33))</f>
        <v/>
      </c>
      <c r="D33" s="11" t="str">
        <f aca="false">IF(A33="","",SUMIFS('Food Log'!E:E,'Food Log'!A:A,A33))</f>
        <v/>
      </c>
      <c r="E33" s="11" t="str">
        <f aca="false">IF(A33="","",SUMIFS('Food Log'!F:F,'Food Log'!A:A,A33))</f>
        <v/>
      </c>
      <c r="F33" s="11" t="str">
        <f aca="false">IF(A33="","",SUMIFS('Food Log'!C:C,'Food Log'!A:A,A33,'Food Log'!G:G,"Yes*"))</f>
        <v/>
      </c>
      <c r="G33" s="11" t="str">
        <f aca="false">IF(A33="","",'Profile &amp; Targets'!$B$24)</f>
        <v/>
      </c>
      <c r="H33" s="11" t="str">
        <f aca="false">IF(A33="","",'Profile &amp; Targets'!$B$25)</f>
        <v/>
      </c>
      <c r="I33" s="11" t="str">
        <f aca="false">IF(A33="","",'Profile &amp; Targets'!$B$27)</f>
        <v/>
      </c>
      <c r="J33" s="11" t="str">
        <f aca="false">IF(A33="","",'Profile &amp; Targets'!$B$26)</f>
        <v/>
      </c>
      <c r="K33" s="11" t="str">
        <f aca="false">IF(A33="","",B33-G33)</f>
        <v/>
      </c>
      <c r="L33" s="11" t="str">
        <f aca="false">IF(A33="","",C33-H33)</f>
        <v/>
      </c>
      <c r="M33" s="11" t="str">
        <f aca="false">IF(A33="","",D33-I33)</f>
        <v/>
      </c>
      <c r="N33" s="11" t="str">
        <f aca="false">IF(A33="","",E33-J33)</f>
        <v/>
      </c>
    </row>
    <row r="34" customFormat="false" ht="15" hidden="false" customHeight="true" outlineLevel="0" collapsed="false">
      <c r="A34" s="10"/>
      <c r="B34" s="11" t="str">
        <f aca="false">IF(A34="","",SUMIFS('Food Log'!C:C,'Food Log'!A:A,A34))</f>
        <v/>
      </c>
      <c r="C34" s="11" t="str">
        <f aca="false">IF(A34="","",SUMIFS('Food Log'!D:D,'Food Log'!A:A,A34))</f>
        <v/>
      </c>
      <c r="D34" s="11" t="str">
        <f aca="false">IF(A34="","",SUMIFS('Food Log'!E:E,'Food Log'!A:A,A34))</f>
        <v/>
      </c>
      <c r="E34" s="11" t="str">
        <f aca="false">IF(A34="","",SUMIFS('Food Log'!F:F,'Food Log'!A:A,A34))</f>
        <v/>
      </c>
      <c r="F34" s="11" t="str">
        <f aca="false">IF(A34="","",SUMIFS('Food Log'!C:C,'Food Log'!A:A,A34,'Food Log'!G:G,"Yes*"))</f>
        <v/>
      </c>
      <c r="G34" s="11" t="str">
        <f aca="false">IF(A34="","",'Profile &amp; Targets'!$B$24)</f>
        <v/>
      </c>
      <c r="H34" s="11" t="str">
        <f aca="false">IF(A34="","",'Profile &amp; Targets'!$B$25)</f>
        <v/>
      </c>
      <c r="I34" s="11" t="str">
        <f aca="false">IF(A34="","",'Profile &amp; Targets'!$B$27)</f>
        <v/>
      </c>
      <c r="J34" s="11" t="str">
        <f aca="false">IF(A34="","",'Profile &amp; Targets'!$B$26)</f>
        <v/>
      </c>
      <c r="K34" s="11" t="str">
        <f aca="false">IF(A34="","",B34-G34)</f>
        <v/>
      </c>
      <c r="L34" s="11" t="str">
        <f aca="false">IF(A34="","",C34-H34)</f>
        <v/>
      </c>
      <c r="M34" s="11" t="str">
        <f aca="false">IF(A34="","",D34-I34)</f>
        <v/>
      </c>
      <c r="N34" s="11" t="str">
        <f aca="false">IF(A34="","",E34-J34)</f>
        <v/>
      </c>
    </row>
    <row r="35" customFormat="false" ht="15" hidden="false" customHeight="true" outlineLevel="0" collapsed="false">
      <c r="A35" s="10"/>
      <c r="B35" s="11" t="str">
        <f aca="false">IF(A35="","",SUMIFS('Food Log'!C:C,'Food Log'!A:A,A35))</f>
        <v/>
      </c>
      <c r="C35" s="11" t="str">
        <f aca="false">IF(A35="","",SUMIFS('Food Log'!D:D,'Food Log'!A:A,A35))</f>
        <v/>
      </c>
      <c r="D35" s="11" t="str">
        <f aca="false">IF(A35="","",SUMIFS('Food Log'!E:E,'Food Log'!A:A,A35))</f>
        <v/>
      </c>
      <c r="E35" s="11" t="str">
        <f aca="false">IF(A35="","",SUMIFS('Food Log'!F:F,'Food Log'!A:A,A35))</f>
        <v/>
      </c>
      <c r="F35" s="11" t="str">
        <f aca="false">IF(A35="","",SUMIFS('Food Log'!C:C,'Food Log'!A:A,A35,'Food Log'!G:G,"Yes*"))</f>
        <v/>
      </c>
      <c r="G35" s="11" t="str">
        <f aca="false">IF(A35="","",'Profile &amp; Targets'!$B$24)</f>
        <v/>
      </c>
      <c r="H35" s="11" t="str">
        <f aca="false">IF(A35="","",'Profile &amp; Targets'!$B$25)</f>
        <v/>
      </c>
      <c r="I35" s="11" t="str">
        <f aca="false">IF(A35="","",'Profile &amp; Targets'!$B$27)</f>
        <v/>
      </c>
      <c r="J35" s="11" t="str">
        <f aca="false">IF(A35="","",'Profile &amp; Targets'!$B$26)</f>
        <v/>
      </c>
      <c r="K35" s="11" t="str">
        <f aca="false">IF(A35="","",B35-G35)</f>
        <v/>
      </c>
      <c r="L35" s="11" t="str">
        <f aca="false">IF(A35="","",C35-H35)</f>
        <v/>
      </c>
      <c r="M35" s="11" t="str">
        <f aca="false">IF(A35="","",D35-I35)</f>
        <v/>
      </c>
      <c r="N35" s="11" t="str">
        <f aca="false">IF(A35="","",E35-J35)</f>
        <v/>
      </c>
    </row>
    <row r="36" customFormat="false" ht="15" hidden="false" customHeight="true" outlineLevel="0" collapsed="false">
      <c r="A36" s="10"/>
      <c r="B36" s="11" t="str">
        <f aca="false">IF(A36="","",SUMIFS('Food Log'!C:C,'Food Log'!A:A,A36))</f>
        <v/>
      </c>
      <c r="C36" s="11" t="str">
        <f aca="false">IF(A36="","",SUMIFS('Food Log'!D:D,'Food Log'!A:A,A36))</f>
        <v/>
      </c>
      <c r="D36" s="11" t="str">
        <f aca="false">IF(A36="","",SUMIFS('Food Log'!E:E,'Food Log'!A:A,A36))</f>
        <v/>
      </c>
      <c r="E36" s="11" t="str">
        <f aca="false">IF(A36="","",SUMIFS('Food Log'!F:F,'Food Log'!A:A,A36))</f>
        <v/>
      </c>
      <c r="F36" s="11" t="str">
        <f aca="false">IF(A36="","",SUMIFS('Food Log'!C:C,'Food Log'!A:A,A36,'Food Log'!G:G,"Yes*"))</f>
        <v/>
      </c>
      <c r="G36" s="11" t="str">
        <f aca="false">IF(A36="","",'Profile &amp; Targets'!$B$24)</f>
        <v/>
      </c>
      <c r="H36" s="11" t="str">
        <f aca="false">IF(A36="","",'Profile &amp; Targets'!$B$25)</f>
        <v/>
      </c>
      <c r="I36" s="11" t="str">
        <f aca="false">IF(A36="","",'Profile &amp; Targets'!$B$27)</f>
        <v/>
      </c>
      <c r="J36" s="11" t="str">
        <f aca="false">IF(A36="","",'Profile &amp; Targets'!$B$26)</f>
        <v/>
      </c>
      <c r="K36" s="11" t="str">
        <f aca="false">IF(A36="","",B36-G36)</f>
        <v/>
      </c>
      <c r="L36" s="11" t="str">
        <f aca="false">IF(A36="","",C36-H36)</f>
        <v/>
      </c>
      <c r="M36" s="11" t="str">
        <f aca="false">IF(A36="","",D36-I36)</f>
        <v/>
      </c>
      <c r="N36" s="11" t="str">
        <f aca="false">IF(A36="","",E36-J36)</f>
        <v/>
      </c>
    </row>
    <row r="37" customFormat="false" ht="15" hidden="false" customHeight="true" outlineLevel="0" collapsed="false">
      <c r="A37" s="10"/>
      <c r="B37" s="11" t="str">
        <f aca="false">IF(A37="","",SUMIFS('Food Log'!C:C,'Food Log'!A:A,A37))</f>
        <v/>
      </c>
      <c r="C37" s="11" t="str">
        <f aca="false">IF(A37="","",SUMIFS('Food Log'!D:D,'Food Log'!A:A,A37))</f>
        <v/>
      </c>
      <c r="D37" s="11" t="str">
        <f aca="false">IF(A37="","",SUMIFS('Food Log'!E:E,'Food Log'!A:A,A37))</f>
        <v/>
      </c>
      <c r="E37" s="11" t="str">
        <f aca="false">IF(A37="","",SUMIFS('Food Log'!F:F,'Food Log'!A:A,A37))</f>
        <v/>
      </c>
      <c r="F37" s="11" t="str">
        <f aca="false">IF(A37="","",SUMIFS('Food Log'!C:C,'Food Log'!A:A,A37,'Food Log'!G:G,"Yes*"))</f>
        <v/>
      </c>
      <c r="G37" s="11" t="str">
        <f aca="false">IF(A37="","",'Profile &amp; Targets'!$B$24)</f>
        <v/>
      </c>
      <c r="H37" s="11" t="str">
        <f aca="false">IF(A37="","",'Profile &amp; Targets'!$B$25)</f>
        <v/>
      </c>
      <c r="I37" s="11" t="str">
        <f aca="false">IF(A37="","",'Profile &amp; Targets'!$B$27)</f>
        <v/>
      </c>
      <c r="J37" s="11" t="str">
        <f aca="false">IF(A37="","",'Profile &amp; Targets'!$B$26)</f>
        <v/>
      </c>
      <c r="K37" s="11" t="str">
        <f aca="false">IF(A37="","",B37-G37)</f>
        <v/>
      </c>
      <c r="L37" s="11" t="str">
        <f aca="false">IF(A37="","",C37-H37)</f>
        <v/>
      </c>
      <c r="M37" s="11" t="str">
        <f aca="false">IF(A37="","",D37-I37)</f>
        <v/>
      </c>
      <c r="N37" s="11" t="str">
        <f aca="false">IF(A37="","",E37-J37)</f>
        <v/>
      </c>
    </row>
    <row r="38" customFormat="false" ht="15" hidden="false" customHeight="true" outlineLevel="0" collapsed="false">
      <c r="A38" s="10"/>
      <c r="B38" s="11" t="str">
        <f aca="false">IF(A38="","",SUMIFS('Food Log'!C:C,'Food Log'!A:A,A38))</f>
        <v/>
      </c>
      <c r="C38" s="11" t="str">
        <f aca="false">IF(A38="","",SUMIFS('Food Log'!D:D,'Food Log'!A:A,A38))</f>
        <v/>
      </c>
      <c r="D38" s="11" t="str">
        <f aca="false">IF(A38="","",SUMIFS('Food Log'!E:E,'Food Log'!A:A,A38))</f>
        <v/>
      </c>
      <c r="E38" s="11" t="str">
        <f aca="false">IF(A38="","",SUMIFS('Food Log'!F:F,'Food Log'!A:A,A38))</f>
        <v/>
      </c>
      <c r="F38" s="11" t="str">
        <f aca="false">IF(A38="","",SUMIFS('Food Log'!C:C,'Food Log'!A:A,A38,'Food Log'!G:G,"Yes*"))</f>
        <v/>
      </c>
      <c r="G38" s="11" t="str">
        <f aca="false">IF(A38="","",'Profile &amp; Targets'!$B$24)</f>
        <v/>
      </c>
      <c r="H38" s="11" t="str">
        <f aca="false">IF(A38="","",'Profile &amp; Targets'!$B$25)</f>
        <v/>
      </c>
      <c r="I38" s="11" t="str">
        <f aca="false">IF(A38="","",'Profile &amp; Targets'!$B$27)</f>
        <v/>
      </c>
      <c r="J38" s="11" t="str">
        <f aca="false">IF(A38="","",'Profile &amp; Targets'!$B$26)</f>
        <v/>
      </c>
      <c r="K38" s="11" t="str">
        <f aca="false">IF(A38="","",B38-G38)</f>
        <v/>
      </c>
      <c r="L38" s="11" t="str">
        <f aca="false">IF(A38="","",C38-H38)</f>
        <v/>
      </c>
      <c r="M38" s="11" t="str">
        <f aca="false">IF(A38="","",D38-I38)</f>
        <v/>
      </c>
      <c r="N38" s="11" t="str">
        <f aca="false">IF(A38="","",E38-J38)</f>
        <v/>
      </c>
    </row>
    <row r="39" customFormat="false" ht="15" hidden="false" customHeight="true" outlineLevel="0" collapsed="false">
      <c r="A39" s="10"/>
      <c r="B39" s="11" t="str">
        <f aca="false">IF(A39="","",SUMIFS('Food Log'!C:C,'Food Log'!A:A,A39))</f>
        <v/>
      </c>
      <c r="C39" s="11" t="str">
        <f aca="false">IF(A39="","",SUMIFS('Food Log'!D:D,'Food Log'!A:A,A39))</f>
        <v/>
      </c>
      <c r="D39" s="11" t="str">
        <f aca="false">IF(A39="","",SUMIFS('Food Log'!E:E,'Food Log'!A:A,A39))</f>
        <v/>
      </c>
      <c r="E39" s="11" t="str">
        <f aca="false">IF(A39="","",SUMIFS('Food Log'!F:F,'Food Log'!A:A,A39))</f>
        <v/>
      </c>
      <c r="F39" s="11" t="str">
        <f aca="false">IF(A39="","",SUMIFS('Food Log'!C:C,'Food Log'!A:A,A39,'Food Log'!G:G,"Yes*"))</f>
        <v/>
      </c>
      <c r="G39" s="11" t="str">
        <f aca="false">IF(A39="","",'Profile &amp; Targets'!$B$24)</f>
        <v/>
      </c>
      <c r="H39" s="11" t="str">
        <f aca="false">IF(A39="","",'Profile &amp; Targets'!$B$25)</f>
        <v/>
      </c>
      <c r="I39" s="11" t="str">
        <f aca="false">IF(A39="","",'Profile &amp; Targets'!$B$27)</f>
        <v/>
      </c>
      <c r="J39" s="11" t="str">
        <f aca="false">IF(A39="","",'Profile &amp; Targets'!$B$26)</f>
        <v/>
      </c>
      <c r="K39" s="11" t="str">
        <f aca="false">IF(A39="","",B39-G39)</f>
        <v/>
      </c>
      <c r="L39" s="11" t="str">
        <f aca="false">IF(A39="","",C39-H39)</f>
        <v/>
      </c>
      <c r="M39" s="11" t="str">
        <f aca="false">IF(A39="","",D39-I39)</f>
        <v/>
      </c>
      <c r="N39" s="11" t="str">
        <f aca="false">IF(A39="","",E39-J39)</f>
        <v/>
      </c>
    </row>
    <row r="40" customFormat="false" ht="15" hidden="false" customHeight="true" outlineLevel="0" collapsed="false">
      <c r="A40" s="10"/>
      <c r="B40" s="11" t="str">
        <f aca="false">IF(A40="","",SUMIFS('Food Log'!C:C,'Food Log'!A:A,A40))</f>
        <v/>
      </c>
      <c r="C40" s="11" t="str">
        <f aca="false">IF(A40="","",SUMIFS('Food Log'!D:D,'Food Log'!A:A,A40))</f>
        <v/>
      </c>
      <c r="D40" s="11" t="str">
        <f aca="false">IF(A40="","",SUMIFS('Food Log'!E:E,'Food Log'!A:A,A40))</f>
        <v/>
      </c>
      <c r="E40" s="11" t="str">
        <f aca="false">IF(A40="","",SUMIFS('Food Log'!F:F,'Food Log'!A:A,A40))</f>
        <v/>
      </c>
      <c r="F40" s="11" t="str">
        <f aca="false">IF(A40="","",SUMIFS('Food Log'!C:C,'Food Log'!A:A,A40,'Food Log'!G:G,"Yes*"))</f>
        <v/>
      </c>
      <c r="G40" s="11" t="str">
        <f aca="false">IF(A40="","",'Profile &amp; Targets'!$B$24)</f>
        <v/>
      </c>
      <c r="H40" s="11" t="str">
        <f aca="false">IF(A40="","",'Profile &amp; Targets'!$B$25)</f>
        <v/>
      </c>
      <c r="I40" s="11" t="str">
        <f aca="false">IF(A40="","",'Profile &amp; Targets'!$B$27)</f>
        <v/>
      </c>
      <c r="J40" s="11" t="str">
        <f aca="false">IF(A40="","",'Profile &amp; Targets'!$B$26)</f>
        <v/>
      </c>
      <c r="K40" s="11" t="str">
        <f aca="false">IF(A40="","",B40-G40)</f>
        <v/>
      </c>
      <c r="L40" s="11" t="str">
        <f aca="false">IF(A40="","",C40-H40)</f>
        <v/>
      </c>
      <c r="M40" s="11" t="str">
        <f aca="false">IF(A40="","",D40-I40)</f>
        <v/>
      </c>
      <c r="N40" s="11" t="str">
        <f aca="false">IF(A40="","",E40-J40)</f>
        <v/>
      </c>
    </row>
    <row r="41" customFormat="false" ht="15" hidden="false" customHeight="true" outlineLevel="0" collapsed="false">
      <c r="A41" s="10"/>
      <c r="B41" s="11" t="str">
        <f aca="false">IF(A41="","",SUMIFS('Food Log'!C:C,'Food Log'!A:A,A41))</f>
        <v/>
      </c>
      <c r="C41" s="11" t="str">
        <f aca="false">IF(A41="","",SUMIFS('Food Log'!D:D,'Food Log'!A:A,A41))</f>
        <v/>
      </c>
      <c r="D41" s="11" t="str">
        <f aca="false">IF(A41="","",SUMIFS('Food Log'!E:E,'Food Log'!A:A,A41))</f>
        <v/>
      </c>
      <c r="E41" s="11" t="str">
        <f aca="false">IF(A41="","",SUMIFS('Food Log'!F:F,'Food Log'!A:A,A41))</f>
        <v/>
      </c>
      <c r="F41" s="11" t="str">
        <f aca="false">IF(A41="","",SUMIFS('Food Log'!C:C,'Food Log'!A:A,A41,'Food Log'!G:G,"Yes*"))</f>
        <v/>
      </c>
      <c r="G41" s="11" t="str">
        <f aca="false">IF(A41="","",'Profile &amp; Targets'!$B$24)</f>
        <v/>
      </c>
      <c r="H41" s="11" t="str">
        <f aca="false">IF(A41="","",'Profile &amp; Targets'!$B$25)</f>
        <v/>
      </c>
      <c r="I41" s="11" t="str">
        <f aca="false">IF(A41="","",'Profile &amp; Targets'!$B$27)</f>
        <v/>
      </c>
      <c r="J41" s="11" t="str">
        <f aca="false">IF(A41="","",'Profile &amp; Targets'!$B$26)</f>
        <v/>
      </c>
      <c r="K41" s="11" t="str">
        <f aca="false">IF(A41="","",B41-G41)</f>
        <v/>
      </c>
      <c r="L41" s="11" t="str">
        <f aca="false">IF(A41="","",C41-H41)</f>
        <v/>
      </c>
      <c r="M41" s="11" t="str">
        <f aca="false">IF(A41="","",D41-I41)</f>
        <v/>
      </c>
      <c r="N41" s="11" t="str">
        <f aca="false">IF(A41="","",E41-J41)</f>
        <v/>
      </c>
    </row>
    <row r="42" customFormat="false" ht="15" hidden="false" customHeight="true" outlineLevel="0" collapsed="false">
      <c r="A42" s="10"/>
      <c r="B42" s="11" t="str">
        <f aca="false">IF(A42="","",SUMIFS('Food Log'!C:C,'Food Log'!A:A,A42))</f>
        <v/>
      </c>
      <c r="C42" s="11" t="str">
        <f aca="false">IF(A42="","",SUMIFS('Food Log'!D:D,'Food Log'!A:A,A42))</f>
        <v/>
      </c>
      <c r="D42" s="11" t="str">
        <f aca="false">IF(A42="","",SUMIFS('Food Log'!E:E,'Food Log'!A:A,A42))</f>
        <v/>
      </c>
      <c r="E42" s="11" t="str">
        <f aca="false">IF(A42="","",SUMIFS('Food Log'!F:F,'Food Log'!A:A,A42))</f>
        <v/>
      </c>
      <c r="F42" s="11" t="str">
        <f aca="false">IF(A42="","",SUMIFS('Food Log'!C:C,'Food Log'!A:A,A42,'Food Log'!G:G,"Yes*"))</f>
        <v/>
      </c>
      <c r="G42" s="11" t="str">
        <f aca="false">IF(A42="","",'Profile &amp; Targets'!$B$24)</f>
        <v/>
      </c>
      <c r="H42" s="11" t="str">
        <f aca="false">IF(A42="","",'Profile &amp; Targets'!$B$25)</f>
        <v/>
      </c>
      <c r="I42" s="11" t="str">
        <f aca="false">IF(A42="","",'Profile &amp; Targets'!$B$27)</f>
        <v/>
      </c>
      <c r="J42" s="11" t="str">
        <f aca="false">IF(A42="","",'Profile &amp; Targets'!$B$26)</f>
        <v/>
      </c>
      <c r="K42" s="11" t="str">
        <f aca="false">IF(A42="","",B42-G42)</f>
        <v/>
      </c>
      <c r="L42" s="11" t="str">
        <f aca="false">IF(A42="","",C42-H42)</f>
        <v/>
      </c>
      <c r="M42" s="11" t="str">
        <f aca="false">IF(A42="","",D42-I42)</f>
        <v/>
      </c>
      <c r="N42" s="11" t="str">
        <f aca="false">IF(A42="","",E42-J42)</f>
        <v/>
      </c>
    </row>
    <row r="43" customFormat="false" ht="15" hidden="false" customHeight="true" outlineLevel="0" collapsed="false">
      <c r="A43" s="10"/>
      <c r="B43" s="11" t="str">
        <f aca="false">IF(A43="","",SUMIFS('Food Log'!C:C,'Food Log'!A:A,A43))</f>
        <v/>
      </c>
      <c r="C43" s="11" t="str">
        <f aca="false">IF(A43="","",SUMIFS('Food Log'!D:D,'Food Log'!A:A,A43))</f>
        <v/>
      </c>
      <c r="D43" s="11" t="str">
        <f aca="false">IF(A43="","",SUMIFS('Food Log'!E:E,'Food Log'!A:A,A43))</f>
        <v/>
      </c>
      <c r="E43" s="11" t="str">
        <f aca="false">IF(A43="","",SUMIFS('Food Log'!F:F,'Food Log'!A:A,A43))</f>
        <v/>
      </c>
      <c r="F43" s="11" t="str">
        <f aca="false">IF(A43="","",SUMIFS('Food Log'!C:C,'Food Log'!A:A,A43,'Food Log'!G:G,"Yes*"))</f>
        <v/>
      </c>
      <c r="G43" s="11" t="str">
        <f aca="false">IF(A43="","",'Profile &amp; Targets'!$B$24)</f>
        <v/>
      </c>
      <c r="H43" s="11" t="str">
        <f aca="false">IF(A43="","",'Profile &amp; Targets'!$B$25)</f>
        <v/>
      </c>
      <c r="I43" s="11" t="str">
        <f aca="false">IF(A43="","",'Profile &amp; Targets'!$B$27)</f>
        <v/>
      </c>
      <c r="J43" s="11" t="str">
        <f aca="false">IF(A43="","",'Profile &amp; Targets'!$B$26)</f>
        <v/>
      </c>
      <c r="K43" s="11" t="str">
        <f aca="false">IF(A43="","",B43-G43)</f>
        <v/>
      </c>
      <c r="L43" s="11" t="str">
        <f aca="false">IF(A43="","",C43-H43)</f>
        <v/>
      </c>
      <c r="M43" s="11" t="str">
        <f aca="false">IF(A43="","",D43-I43)</f>
        <v/>
      </c>
      <c r="N43" s="11" t="str">
        <f aca="false">IF(A43="","",E43-J43)</f>
        <v/>
      </c>
    </row>
    <row r="44" customFormat="false" ht="15" hidden="false" customHeight="true" outlineLevel="0" collapsed="false">
      <c r="A44" s="10"/>
      <c r="B44" s="11" t="str">
        <f aca="false">IF(A44="","",SUMIFS('Food Log'!C:C,'Food Log'!A:A,A44))</f>
        <v/>
      </c>
      <c r="C44" s="11" t="str">
        <f aca="false">IF(A44="","",SUMIFS('Food Log'!D:D,'Food Log'!A:A,A44))</f>
        <v/>
      </c>
      <c r="D44" s="11" t="str">
        <f aca="false">IF(A44="","",SUMIFS('Food Log'!E:E,'Food Log'!A:A,A44))</f>
        <v/>
      </c>
      <c r="E44" s="11" t="str">
        <f aca="false">IF(A44="","",SUMIFS('Food Log'!F:F,'Food Log'!A:A,A44))</f>
        <v/>
      </c>
      <c r="F44" s="11" t="str">
        <f aca="false">IF(A44="","",SUMIFS('Food Log'!C:C,'Food Log'!A:A,A44,'Food Log'!G:G,"Yes*"))</f>
        <v/>
      </c>
      <c r="G44" s="11" t="str">
        <f aca="false">IF(A44="","",'Profile &amp; Targets'!$B$24)</f>
        <v/>
      </c>
      <c r="H44" s="11" t="str">
        <f aca="false">IF(A44="","",'Profile &amp; Targets'!$B$25)</f>
        <v/>
      </c>
      <c r="I44" s="11" t="str">
        <f aca="false">IF(A44="","",'Profile &amp; Targets'!$B$27)</f>
        <v/>
      </c>
      <c r="J44" s="11" t="str">
        <f aca="false">IF(A44="","",'Profile &amp; Targets'!$B$26)</f>
        <v/>
      </c>
      <c r="K44" s="11" t="str">
        <f aca="false">IF(A44="","",B44-G44)</f>
        <v/>
      </c>
      <c r="L44" s="11" t="str">
        <f aca="false">IF(A44="","",C44-H44)</f>
        <v/>
      </c>
      <c r="M44" s="11" t="str">
        <f aca="false">IF(A44="","",D44-I44)</f>
        <v/>
      </c>
      <c r="N44" s="11" t="str">
        <f aca="false">IF(A44="","",E44-J44)</f>
        <v/>
      </c>
    </row>
    <row r="45" customFormat="false" ht="15" hidden="false" customHeight="true" outlineLevel="0" collapsed="false">
      <c r="A45" s="10"/>
      <c r="B45" s="11" t="str">
        <f aca="false">IF(A45="","",SUMIFS('Food Log'!C:C,'Food Log'!A:A,A45))</f>
        <v/>
      </c>
      <c r="C45" s="11" t="str">
        <f aca="false">IF(A45="","",SUMIFS('Food Log'!D:D,'Food Log'!A:A,A45))</f>
        <v/>
      </c>
      <c r="D45" s="11" t="str">
        <f aca="false">IF(A45="","",SUMIFS('Food Log'!E:E,'Food Log'!A:A,A45))</f>
        <v/>
      </c>
      <c r="E45" s="11" t="str">
        <f aca="false">IF(A45="","",SUMIFS('Food Log'!F:F,'Food Log'!A:A,A45))</f>
        <v/>
      </c>
      <c r="F45" s="11" t="str">
        <f aca="false">IF(A45="","",SUMIFS('Food Log'!C:C,'Food Log'!A:A,A45,'Food Log'!G:G,"Yes*"))</f>
        <v/>
      </c>
      <c r="G45" s="11" t="str">
        <f aca="false">IF(A45="","",'Profile &amp; Targets'!$B$24)</f>
        <v/>
      </c>
      <c r="H45" s="11" t="str">
        <f aca="false">IF(A45="","",'Profile &amp; Targets'!$B$25)</f>
        <v/>
      </c>
      <c r="I45" s="11" t="str">
        <f aca="false">IF(A45="","",'Profile &amp; Targets'!$B$27)</f>
        <v/>
      </c>
      <c r="J45" s="11" t="str">
        <f aca="false">IF(A45="","",'Profile &amp; Targets'!$B$26)</f>
        <v/>
      </c>
      <c r="K45" s="11" t="str">
        <f aca="false">IF(A45="","",B45-G45)</f>
        <v/>
      </c>
      <c r="L45" s="11" t="str">
        <f aca="false">IF(A45="","",C45-H45)</f>
        <v/>
      </c>
      <c r="M45" s="11" t="str">
        <f aca="false">IF(A45="","",D45-I45)</f>
        <v/>
      </c>
      <c r="N45" s="11" t="str">
        <f aca="false">IF(A45="","",E45-J45)</f>
        <v/>
      </c>
    </row>
    <row r="46" customFormat="false" ht="15" hidden="false" customHeight="true" outlineLevel="0" collapsed="false">
      <c r="A46" s="10"/>
      <c r="B46" s="11" t="str">
        <f aca="false">IF(A46="","",SUMIFS('Food Log'!C:C,'Food Log'!A:A,A46))</f>
        <v/>
      </c>
      <c r="C46" s="11" t="str">
        <f aca="false">IF(A46="","",SUMIFS('Food Log'!D:D,'Food Log'!A:A,A46))</f>
        <v/>
      </c>
      <c r="D46" s="11" t="str">
        <f aca="false">IF(A46="","",SUMIFS('Food Log'!E:E,'Food Log'!A:A,A46))</f>
        <v/>
      </c>
      <c r="E46" s="11" t="str">
        <f aca="false">IF(A46="","",SUMIFS('Food Log'!F:F,'Food Log'!A:A,A46))</f>
        <v/>
      </c>
      <c r="F46" s="11" t="str">
        <f aca="false">IF(A46="","",SUMIFS('Food Log'!C:C,'Food Log'!A:A,A46,'Food Log'!G:G,"Yes*"))</f>
        <v/>
      </c>
      <c r="G46" s="11" t="str">
        <f aca="false">IF(A46="","",'Profile &amp; Targets'!$B$24)</f>
        <v/>
      </c>
      <c r="H46" s="11" t="str">
        <f aca="false">IF(A46="","",'Profile &amp; Targets'!$B$25)</f>
        <v/>
      </c>
      <c r="I46" s="11" t="str">
        <f aca="false">IF(A46="","",'Profile &amp; Targets'!$B$27)</f>
        <v/>
      </c>
      <c r="J46" s="11" t="str">
        <f aca="false">IF(A46="","",'Profile &amp; Targets'!$B$26)</f>
        <v/>
      </c>
      <c r="K46" s="11" t="str">
        <f aca="false">IF(A46="","",B46-G46)</f>
        <v/>
      </c>
      <c r="L46" s="11" t="str">
        <f aca="false">IF(A46="","",C46-H46)</f>
        <v/>
      </c>
      <c r="M46" s="11" t="str">
        <f aca="false">IF(A46="","",D46-I46)</f>
        <v/>
      </c>
      <c r="N46" s="11" t="str">
        <f aca="false">IF(A46="","",E46-J46)</f>
        <v/>
      </c>
    </row>
    <row r="47" customFormat="false" ht="15" hidden="false" customHeight="true" outlineLevel="0" collapsed="false">
      <c r="A47" s="10"/>
      <c r="B47" s="11" t="str">
        <f aca="false">IF(A47="","",SUMIFS('Food Log'!C:C,'Food Log'!A:A,A47))</f>
        <v/>
      </c>
      <c r="C47" s="11" t="str">
        <f aca="false">IF(A47="","",SUMIFS('Food Log'!D:D,'Food Log'!A:A,A47))</f>
        <v/>
      </c>
      <c r="D47" s="11" t="str">
        <f aca="false">IF(A47="","",SUMIFS('Food Log'!E:E,'Food Log'!A:A,A47))</f>
        <v/>
      </c>
      <c r="E47" s="11" t="str">
        <f aca="false">IF(A47="","",SUMIFS('Food Log'!F:F,'Food Log'!A:A,A47))</f>
        <v/>
      </c>
      <c r="F47" s="11" t="str">
        <f aca="false">IF(A47="","",SUMIFS('Food Log'!C:C,'Food Log'!A:A,A47,'Food Log'!G:G,"Yes*"))</f>
        <v/>
      </c>
      <c r="G47" s="11" t="str">
        <f aca="false">IF(A47="","",'Profile &amp; Targets'!$B$24)</f>
        <v/>
      </c>
      <c r="H47" s="11" t="str">
        <f aca="false">IF(A47="","",'Profile &amp; Targets'!$B$25)</f>
        <v/>
      </c>
      <c r="I47" s="11" t="str">
        <f aca="false">IF(A47="","",'Profile &amp; Targets'!$B$27)</f>
        <v/>
      </c>
      <c r="J47" s="11" t="str">
        <f aca="false">IF(A47="","",'Profile &amp; Targets'!$B$26)</f>
        <v/>
      </c>
      <c r="K47" s="11" t="str">
        <f aca="false">IF(A47="","",B47-G47)</f>
        <v/>
      </c>
      <c r="L47" s="11" t="str">
        <f aca="false">IF(A47="","",C47-H47)</f>
        <v/>
      </c>
      <c r="M47" s="11" t="str">
        <f aca="false">IF(A47="","",D47-I47)</f>
        <v/>
      </c>
      <c r="N47" s="11" t="str">
        <f aca="false">IF(A47="","",E47-J47)</f>
        <v/>
      </c>
    </row>
    <row r="48" customFormat="false" ht="15" hidden="false" customHeight="true" outlineLevel="0" collapsed="false">
      <c r="A48" s="10"/>
      <c r="B48" s="11" t="str">
        <f aca="false">IF(A48="","",SUMIFS('Food Log'!C:C,'Food Log'!A:A,A48))</f>
        <v/>
      </c>
      <c r="C48" s="11" t="str">
        <f aca="false">IF(A48="","",SUMIFS('Food Log'!D:D,'Food Log'!A:A,A48))</f>
        <v/>
      </c>
      <c r="D48" s="11" t="str">
        <f aca="false">IF(A48="","",SUMIFS('Food Log'!E:E,'Food Log'!A:A,A48))</f>
        <v/>
      </c>
      <c r="E48" s="11" t="str">
        <f aca="false">IF(A48="","",SUMIFS('Food Log'!F:F,'Food Log'!A:A,A48))</f>
        <v/>
      </c>
      <c r="F48" s="11" t="str">
        <f aca="false">IF(A48="","",SUMIFS('Food Log'!C:C,'Food Log'!A:A,A48,'Food Log'!G:G,"Yes*"))</f>
        <v/>
      </c>
      <c r="G48" s="11" t="str">
        <f aca="false">IF(A48="","",'Profile &amp; Targets'!$B$24)</f>
        <v/>
      </c>
      <c r="H48" s="11" t="str">
        <f aca="false">IF(A48="","",'Profile &amp; Targets'!$B$25)</f>
        <v/>
      </c>
      <c r="I48" s="11" t="str">
        <f aca="false">IF(A48="","",'Profile &amp; Targets'!$B$27)</f>
        <v/>
      </c>
      <c r="J48" s="11" t="str">
        <f aca="false">IF(A48="","",'Profile &amp; Targets'!$B$26)</f>
        <v/>
      </c>
      <c r="K48" s="11" t="str">
        <f aca="false">IF(A48="","",B48-G48)</f>
        <v/>
      </c>
      <c r="L48" s="11" t="str">
        <f aca="false">IF(A48="","",C48-H48)</f>
        <v/>
      </c>
      <c r="M48" s="11" t="str">
        <f aca="false">IF(A48="","",D48-I48)</f>
        <v/>
      </c>
      <c r="N48" s="11" t="str">
        <f aca="false">IF(A48="","",E48-J48)</f>
        <v/>
      </c>
    </row>
    <row r="49" customFormat="false" ht="15" hidden="false" customHeight="true" outlineLevel="0" collapsed="false">
      <c r="A49" s="10"/>
      <c r="B49" s="11" t="str">
        <f aca="false">IF(A49="","",SUMIFS('Food Log'!C:C,'Food Log'!A:A,A49))</f>
        <v/>
      </c>
      <c r="C49" s="11" t="str">
        <f aca="false">IF(A49="","",SUMIFS('Food Log'!D:D,'Food Log'!A:A,A49))</f>
        <v/>
      </c>
      <c r="D49" s="11" t="str">
        <f aca="false">IF(A49="","",SUMIFS('Food Log'!E:E,'Food Log'!A:A,A49))</f>
        <v/>
      </c>
      <c r="E49" s="11" t="str">
        <f aca="false">IF(A49="","",SUMIFS('Food Log'!F:F,'Food Log'!A:A,A49))</f>
        <v/>
      </c>
      <c r="F49" s="11" t="str">
        <f aca="false">IF(A49="","",SUMIFS('Food Log'!C:C,'Food Log'!A:A,A49,'Food Log'!G:G,"Yes*"))</f>
        <v/>
      </c>
      <c r="G49" s="11" t="str">
        <f aca="false">IF(A49="","",'Profile &amp; Targets'!$B$24)</f>
        <v/>
      </c>
      <c r="H49" s="11" t="str">
        <f aca="false">IF(A49="","",'Profile &amp; Targets'!$B$25)</f>
        <v/>
      </c>
      <c r="I49" s="11" t="str">
        <f aca="false">IF(A49="","",'Profile &amp; Targets'!$B$27)</f>
        <v/>
      </c>
      <c r="J49" s="11" t="str">
        <f aca="false">IF(A49="","",'Profile &amp; Targets'!$B$26)</f>
        <v/>
      </c>
      <c r="K49" s="11" t="str">
        <f aca="false">IF(A49="","",B49-G49)</f>
        <v/>
      </c>
      <c r="L49" s="11" t="str">
        <f aca="false">IF(A49="","",C49-H49)</f>
        <v/>
      </c>
      <c r="M49" s="11" t="str">
        <f aca="false">IF(A49="","",D49-I49)</f>
        <v/>
      </c>
      <c r="N49" s="11" t="str">
        <f aca="false">IF(A49="","",E49-J49)</f>
        <v/>
      </c>
    </row>
    <row r="50" customFormat="false" ht="15" hidden="false" customHeight="true" outlineLevel="0" collapsed="false">
      <c r="A50" s="10"/>
      <c r="B50" s="11" t="str">
        <f aca="false">IF(A50="","",SUMIFS('Food Log'!C:C,'Food Log'!A:A,A50))</f>
        <v/>
      </c>
      <c r="C50" s="11" t="str">
        <f aca="false">IF(A50="","",SUMIFS('Food Log'!D:D,'Food Log'!A:A,A50))</f>
        <v/>
      </c>
      <c r="D50" s="11" t="str">
        <f aca="false">IF(A50="","",SUMIFS('Food Log'!E:E,'Food Log'!A:A,A50))</f>
        <v/>
      </c>
      <c r="E50" s="11" t="str">
        <f aca="false">IF(A50="","",SUMIFS('Food Log'!F:F,'Food Log'!A:A,A50))</f>
        <v/>
      </c>
      <c r="F50" s="11" t="str">
        <f aca="false">IF(A50="","",SUMIFS('Food Log'!C:C,'Food Log'!A:A,A50,'Food Log'!G:G,"Yes*"))</f>
        <v/>
      </c>
      <c r="G50" s="11" t="str">
        <f aca="false">IF(A50="","",'Profile &amp; Targets'!$B$24)</f>
        <v/>
      </c>
      <c r="H50" s="11" t="str">
        <f aca="false">IF(A50="","",'Profile &amp; Targets'!$B$25)</f>
        <v/>
      </c>
      <c r="I50" s="11" t="str">
        <f aca="false">IF(A50="","",'Profile &amp; Targets'!$B$27)</f>
        <v/>
      </c>
      <c r="J50" s="11" t="str">
        <f aca="false">IF(A50="","",'Profile &amp; Targets'!$B$26)</f>
        <v/>
      </c>
      <c r="K50" s="11" t="str">
        <f aca="false">IF(A50="","",B50-G50)</f>
        <v/>
      </c>
      <c r="L50" s="11" t="str">
        <f aca="false">IF(A50="","",C50-H50)</f>
        <v/>
      </c>
      <c r="M50" s="11" t="str">
        <f aca="false">IF(A50="","",D50-I50)</f>
        <v/>
      </c>
      <c r="N50" s="11" t="str">
        <f aca="false">IF(A50="","",E50-J50)</f>
        <v/>
      </c>
    </row>
    <row r="51" customFormat="false" ht="15" hidden="false" customHeight="true" outlineLevel="0" collapsed="false">
      <c r="A51" s="10"/>
      <c r="B51" s="11" t="str">
        <f aca="false">IF(A51="","",SUMIFS('Food Log'!C:C,'Food Log'!A:A,A51))</f>
        <v/>
      </c>
      <c r="C51" s="11" t="str">
        <f aca="false">IF(A51="","",SUMIFS('Food Log'!D:D,'Food Log'!A:A,A51))</f>
        <v/>
      </c>
      <c r="D51" s="11" t="str">
        <f aca="false">IF(A51="","",SUMIFS('Food Log'!E:E,'Food Log'!A:A,A51))</f>
        <v/>
      </c>
      <c r="E51" s="11" t="str">
        <f aca="false">IF(A51="","",SUMIFS('Food Log'!F:F,'Food Log'!A:A,A51))</f>
        <v/>
      </c>
      <c r="F51" s="11" t="str">
        <f aca="false">IF(A51="","",SUMIFS('Food Log'!C:C,'Food Log'!A:A,A51,'Food Log'!G:G,"Yes*"))</f>
        <v/>
      </c>
      <c r="G51" s="11" t="str">
        <f aca="false">IF(A51="","",'Profile &amp; Targets'!$B$24)</f>
        <v/>
      </c>
      <c r="H51" s="11" t="str">
        <f aca="false">IF(A51="","",'Profile &amp; Targets'!$B$25)</f>
        <v/>
      </c>
      <c r="I51" s="11" t="str">
        <f aca="false">IF(A51="","",'Profile &amp; Targets'!$B$27)</f>
        <v/>
      </c>
      <c r="J51" s="11" t="str">
        <f aca="false">IF(A51="","",'Profile &amp; Targets'!$B$26)</f>
        <v/>
      </c>
      <c r="K51" s="11" t="str">
        <f aca="false">IF(A51="","",B51-G51)</f>
        <v/>
      </c>
      <c r="L51" s="11" t="str">
        <f aca="false">IF(A51="","",C51-H51)</f>
        <v/>
      </c>
      <c r="M51" s="11" t="str">
        <f aca="false">IF(A51="","",D51-I51)</f>
        <v/>
      </c>
      <c r="N51" s="11" t="str">
        <f aca="false">IF(A51="","",E51-J51)</f>
        <v/>
      </c>
    </row>
    <row r="52" customFormat="false" ht="15" hidden="false" customHeight="true" outlineLevel="0" collapsed="false">
      <c r="A52" s="10"/>
      <c r="B52" s="11" t="str">
        <f aca="false">IF(A52="","",SUMIFS('Food Log'!C:C,'Food Log'!A:A,A52))</f>
        <v/>
      </c>
      <c r="C52" s="11" t="str">
        <f aca="false">IF(A52="","",SUMIFS('Food Log'!D:D,'Food Log'!A:A,A52))</f>
        <v/>
      </c>
      <c r="D52" s="11" t="str">
        <f aca="false">IF(A52="","",SUMIFS('Food Log'!E:E,'Food Log'!A:A,A52))</f>
        <v/>
      </c>
      <c r="E52" s="11" t="str">
        <f aca="false">IF(A52="","",SUMIFS('Food Log'!F:F,'Food Log'!A:A,A52))</f>
        <v/>
      </c>
      <c r="F52" s="11" t="str">
        <f aca="false">IF(A52="","",SUMIFS('Food Log'!C:C,'Food Log'!A:A,A52,'Food Log'!G:G,"Yes*"))</f>
        <v/>
      </c>
      <c r="G52" s="11" t="str">
        <f aca="false">IF(A52="","",'Profile &amp; Targets'!$B$24)</f>
        <v/>
      </c>
      <c r="H52" s="11" t="str">
        <f aca="false">IF(A52="","",'Profile &amp; Targets'!$B$25)</f>
        <v/>
      </c>
      <c r="I52" s="11" t="str">
        <f aca="false">IF(A52="","",'Profile &amp; Targets'!$B$27)</f>
        <v/>
      </c>
      <c r="J52" s="11" t="str">
        <f aca="false">IF(A52="","",'Profile &amp; Targets'!$B$26)</f>
        <v/>
      </c>
      <c r="K52" s="11" t="str">
        <f aca="false">IF(A52="","",B52-G52)</f>
        <v/>
      </c>
      <c r="L52" s="11" t="str">
        <f aca="false">IF(A52="","",C52-H52)</f>
        <v/>
      </c>
      <c r="M52" s="11" t="str">
        <f aca="false">IF(A52="","",D52-I52)</f>
        <v/>
      </c>
      <c r="N52" s="11" t="str">
        <f aca="false">IF(A52="","",E52-J52)</f>
        <v/>
      </c>
    </row>
    <row r="53" customFormat="false" ht="15" hidden="false" customHeight="true" outlineLevel="0" collapsed="false">
      <c r="A53" s="10"/>
      <c r="B53" s="11" t="str">
        <f aca="false">IF(A53="","",SUMIFS('Food Log'!C:C,'Food Log'!A:A,A53))</f>
        <v/>
      </c>
      <c r="C53" s="11" t="str">
        <f aca="false">IF(A53="","",SUMIFS('Food Log'!D:D,'Food Log'!A:A,A53))</f>
        <v/>
      </c>
      <c r="D53" s="11" t="str">
        <f aca="false">IF(A53="","",SUMIFS('Food Log'!E:E,'Food Log'!A:A,A53))</f>
        <v/>
      </c>
      <c r="E53" s="11" t="str">
        <f aca="false">IF(A53="","",SUMIFS('Food Log'!F:F,'Food Log'!A:A,A53))</f>
        <v/>
      </c>
      <c r="F53" s="11" t="str">
        <f aca="false">IF(A53="","",SUMIFS('Food Log'!C:C,'Food Log'!A:A,A53,'Food Log'!G:G,"Yes*"))</f>
        <v/>
      </c>
      <c r="G53" s="11" t="str">
        <f aca="false">IF(A53="","",'Profile &amp; Targets'!$B$24)</f>
        <v/>
      </c>
      <c r="H53" s="11" t="str">
        <f aca="false">IF(A53="","",'Profile &amp; Targets'!$B$25)</f>
        <v/>
      </c>
      <c r="I53" s="11" t="str">
        <f aca="false">IF(A53="","",'Profile &amp; Targets'!$B$27)</f>
        <v/>
      </c>
      <c r="J53" s="11" t="str">
        <f aca="false">IF(A53="","",'Profile &amp; Targets'!$B$26)</f>
        <v/>
      </c>
      <c r="K53" s="11" t="str">
        <f aca="false">IF(A53="","",B53-G53)</f>
        <v/>
      </c>
      <c r="L53" s="11" t="str">
        <f aca="false">IF(A53="","",C53-H53)</f>
        <v/>
      </c>
      <c r="M53" s="11" t="str">
        <f aca="false">IF(A53="","",D53-I53)</f>
        <v/>
      </c>
      <c r="N53" s="11" t="str">
        <f aca="false">IF(A53="","",E53-J53)</f>
        <v/>
      </c>
    </row>
    <row r="54" customFormat="false" ht="15" hidden="false" customHeight="true" outlineLevel="0" collapsed="false">
      <c r="A54" s="10"/>
      <c r="B54" s="11" t="str">
        <f aca="false">IF(A54="","",SUMIFS('Food Log'!C:C,'Food Log'!A:A,A54))</f>
        <v/>
      </c>
      <c r="C54" s="11" t="str">
        <f aca="false">IF(A54="","",SUMIFS('Food Log'!D:D,'Food Log'!A:A,A54))</f>
        <v/>
      </c>
      <c r="D54" s="11" t="str">
        <f aca="false">IF(A54="","",SUMIFS('Food Log'!E:E,'Food Log'!A:A,A54))</f>
        <v/>
      </c>
      <c r="E54" s="11" t="str">
        <f aca="false">IF(A54="","",SUMIFS('Food Log'!F:F,'Food Log'!A:A,A54))</f>
        <v/>
      </c>
      <c r="F54" s="11" t="str">
        <f aca="false">IF(A54="","",SUMIFS('Food Log'!C:C,'Food Log'!A:A,A54,'Food Log'!G:G,"Yes*"))</f>
        <v/>
      </c>
      <c r="G54" s="11" t="str">
        <f aca="false">IF(A54="","",'Profile &amp; Targets'!$B$24)</f>
        <v/>
      </c>
      <c r="H54" s="11" t="str">
        <f aca="false">IF(A54="","",'Profile &amp; Targets'!$B$25)</f>
        <v/>
      </c>
      <c r="I54" s="11" t="str">
        <f aca="false">IF(A54="","",'Profile &amp; Targets'!$B$27)</f>
        <v/>
      </c>
      <c r="J54" s="11" t="str">
        <f aca="false">IF(A54="","",'Profile &amp; Targets'!$B$26)</f>
        <v/>
      </c>
      <c r="K54" s="11" t="str">
        <f aca="false">IF(A54="","",B54-G54)</f>
        <v/>
      </c>
      <c r="L54" s="11" t="str">
        <f aca="false">IF(A54="","",C54-H54)</f>
        <v/>
      </c>
      <c r="M54" s="11" t="str">
        <f aca="false">IF(A54="","",D54-I54)</f>
        <v/>
      </c>
      <c r="N54" s="11" t="str">
        <f aca="false">IF(A54="","",E54-J54)</f>
        <v/>
      </c>
    </row>
    <row r="55" customFormat="false" ht="15" hidden="false" customHeight="true" outlineLevel="0" collapsed="false">
      <c r="A55" s="10"/>
      <c r="B55" s="11" t="str">
        <f aca="false">IF(A55="","",SUMIFS('Food Log'!C:C,'Food Log'!A:A,A55))</f>
        <v/>
      </c>
      <c r="C55" s="11" t="str">
        <f aca="false">IF(A55="","",SUMIFS('Food Log'!D:D,'Food Log'!A:A,A55))</f>
        <v/>
      </c>
      <c r="D55" s="11" t="str">
        <f aca="false">IF(A55="","",SUMIFS('Food Log'!E:E,'Food Log'!A:A,A55))</f>
        <v/>
      </c>
      <c r="E55" s="11" t="str">
        <f aca="false">IF(A55="","",SUMIFS('Food Log'!F:F,'Food Log'!A:A,A55))</f>
        <v/>
      </c>
      <c r="F55" s="11" t="str">
        <f aca="false">IF(A55="","",SUMIFS('Food Log'!C:C,'Food Log'!A:A,A55,'Food Log'!G:G,"Yes*"))</f>
        <v/>
      </c>
      <c r="G55" s="11" t="str">
        <f aca="false">IF(A55="","",'Profile &amp; Targets'!$B$24)</f>
        <v/>
      </c>
      <c r="H55" s="11" t="str">
        <f aca="false">IF(A55="","",'Profile &amp; Targets'!$B$25)</f>
        <v/>
      </c>
      <c r="I55" s="11" t="str">
        <f aca="false">IF(A55="","",'Profile &amp; Targets'!$B$27)</f>
        <v/>
      </c>
      <c r="J55" s="11" t="str">
        <f aca="false">IF(A55="","",'Profile &amp; Targets'!$B$26)</f>
        <v/>
      </c>
      <c r="K55" s="11" t="str">
        <f aca="false">IF(A55="","",B55-G55)</f>
        <v/>
      </c>
      <c r="L55" s="11" t="str">
        <f aca="false">IF(A55="","",C55-H55)</f>
        <v/>
      </c>
      <c r="M55" s="11" t="str">
        <f aca="false">IF(A55="","",D55-I55)</f>
        <v/>
      </c>
      <c r="N55" s="11" t="str">
        <f aca="false">IF(A55="","",E55-J55)</f>
        <v/>
      </c>
    </row>
    <row r="56" customFormat="false" ht="15" hidden="false" customHeight="true" outlineLevel="0" collapsed="false">
      <c r="A56" s="10"/>
      <c r="B56" s="11" t="str">
        <f aca="false">IF(A56="","",SUMIFS('Food Log'!C:C,'Food Log'!A:A,A56))</f>
        <v/>
      </c>
      <c r="C56" s="11" t="str">
        <f aca="false">IF(A56="","",SUMIFS('Food Log'!D:D,'Food Log'!A:A,A56))</f>
        <v/>
      </c>
      <c r="D56" s="11" t="str">
        <f aca="false">IF(A56="","",SUMIFS('Food Log'!E:E,'Food Log'!A:A,A56))</f>
        <v/>
      </c>
      <c r="E56" s="11" t="str">
        <f aca="false">IF(A56="","",SUMIFS('Food Log'!F:F,'Food Log'!A:A,A56))</f>
        <v/>
      </c>
      <c r="F56" s="11" t="str">
        <f aca="false">IF(A56="","",SUMIFS('Food Log'!C:C,'Food Log'!A:A,A56,'Food Log'!G:G,"Yes*"))</f>
        <v/>
      </c>
      <c r="G56" s="11" t="str">
        <f aca="false">IF(A56="","",'Profile &amp; Targets'!$B$24)</f>
        <v/>
      </c>
      <c r="H56" s="11" t="str">
        <f aca="false">IF(A56="","",'Profile &amp; Targets'!$B$25)</f>
        <v/>
      </c>
      <c r="I56" s="11" t="str">
        <f aca="false">IF(A56="","",'Profile &amp; Targets'!$B$27)</f>
        <v/>
      </c>
      <c r="J56" s="11" t="str">
        <f aca="false">IF(A56="","",'Profile &amp; Targets'!$B$26)</f>
        <v/>
      </c>
      <c r="K56" s="11" t="str">
        <f aca="false">IF(A56="","",B56-G56)</f>
        <v/>
      </c>
      <c r="L56" s="11" t="str">
        <f aca="false">IF(A56="","",C56-H56)</f>
        <v/>
      </c>
      <c r="M56" s="11" t="str">
        <f aca="false">IF(A56="","",D56-I56)</f>
        <v/>
      </c>
      <c r="N56" s="11" t="str">
        <f aca="false">IF(A56="","",E56-J56)</f>
        <v/>
      </c>
    </row>
    <row r="57" customFormat="false" ht="15" hidden="false" customHeight="true" outlineLevel="0" collapsed="false">
      <c r="A57" s="10"/>
      <c r="B57" s="11" t="str">
        <f aca="false">IF(A57="","",SUMIFS('Food Log'!C:C,'Food Log'!A:A,A57))</f>
        <v/>
      </c>
      <c r="C57" s="11" t="str">
        <f aca="false">IF(A57="","",SUMIFS('Food Log'!D:D,'Food Log'!A:A,A57))</f>
        <v/>
      </c>
      <c r="D57" s="11" t="str">
        <f aca="false">IF(A57="","",SUMIFS('Food Log'!E:E,'Food Log'!A:A,A57))</f>
        <v/>
      </c>
      <c r="E57" s="11" t="str">
        <f aca="false">IF(A57="","",SUMIFS('Food Log'!F:F,'Food Log'!A:A,A57))</f>
        <v/>
      </c>
      <c r="F57" s="11" t="str">
        <f aca="false">IF(A57="","",SUMIFS('Food Log'!C:C,'Food Log'!A:A,A57,'Food Log'!G:G,"Yes*"))</f>
        <v/>
      </c>
      <c r="G57" s="11" t="str">
        <f aca="false">IF(A57="","",'Profile &amp; Targets'!$B$24)</f>
        <v/>
      </c>
      <c r="H57" s="11" t="str">
        <f aca="false">IF(A57="","",'Profile &amp; Targets'!$B$25)</f>
        <v/>
      </c>
      <c r="I57" s="11" t="str">
        <f aca="false">IF(A57="","",'Profile &amp; Targets'!$B$27)</f>
        <v/>
      </c>
      <c r="J57" s="11" t="str">
        <f aca="false">IF(A57="","",'Profile &amp; Targets'!$B$26)</f>
        <v/>
      </c>
      <c r="K57" s="11" t="str">
        <f aca="false">IF(A57="","",B57-G57)</f>
        <v/>
      </c>
      <c r="L57" s="11" t="str">
        <f aca="false">IF(A57="","",C57-H57)</f>
        <v/>
      </c>
      <c r="M57" s="11" t="str">
        <f aca="false">IF(A57="","",D57-I57)</f>
        <v/>
      </c>
      <c r="N57" s="11" t="str">
        <f aca="false">IF(A57="","",E57-J57)</f>
        <v/>
      </c>
    </row>
    <row r="58" customFormat="false" ht="15" hidden="false" customHeight="true" outlineLevel="0" collapsed="false">
      <c r="A58" s="10"/>
      <c r="B58" s="11" t="str">
        <f aca="false">IF(A58="","",SUMIFS('Food Log'!C:C,'Food Log'!A:A,A58))</f>
        <v/>
      </c>
      <c r="C58" s="11" t="str">
        <f aca="false">IF(A58="","",SUMIFS('Food Log'!D:D,'Food Log'!A:A,A58))</f>
        <v/>
      </c>
      <c r="D58" s="11" t="str">
        <f aca="false">IF(A58="","",SUMIFS('Food Log'!E:E,'Food Log'!A:A,A58))</f>
        <v/>
      </c>
      <c r="E58" s="11" t="str">
        <f aca="false">IF(A58="","",SUMIFS('Food Log'!F:F,'Food Log'!A:A,A58))</f>
        <v/>
      </c>
      <c r="F58" s="11" t="str">
        <f aca="false">IF(A58="","",SUMIFS('Food Log'!C:C,'Food Log'!A:A,A58,'Food Log'!G:G,"Yes*"))</f>
        <v/>
      </c>
      <c r="G58" s="11" t="str">
        <f aca="false">IF(A58="","",'Profile &amp; Targets'!$B$24)</f>
        <v/>
      </c>
      <c r="H58" s="11" t="str">
        <f aca="false">IF(A58="","",'Profile &amp; Targets'!$B$25)</f>
        <v/>
      </c>
      <c r="I58" s="11" t="str">
        <f aca="false">IF(A58="","",'Profile &amp; Targets'!$B$27)</f>
        <v/>
      </c>
      <c r="J58" s="11" t="str">
        <f aca="false">IF(A58="","",'Profile &amp; Targets'!$B$26)</f>
        <v/>
      </c>
      <c r="K58" s="11" t="str">
        <f aca="false">IF(A58="","",B58-G58)</f>
        <v/>
      </c>
      <c r="L58" s="11" t="str">
        <f aca="false">IF(A58="","",C58-H58)</f>
        <v/>
      </c>
      <c r="M58" s="11" t="str">
        <f aca="false">IF(A58="","",D58-I58)</f>
        <v/>
      </c>
      <c r="N58" s="11" t="str">
        <f aca="false">IF(A58="","",E58-J58)</f>
        <v/>
      </c>
    </row>
    <row r="59" customFormat="false" ht="15" hidden="false" customHeight="true" outlineLevel="0" collapsed="false">
      <c r="A59" s="10"/>
      <c r="B59" s="11" t="str">
        <f aca="false">IF(A59="","",SUMIFS('Food Log'!C:C,'Food Log'!A:A,A59))</f>
        <v/>
      </c>
      <c r="C59" s="11" t="str">
        <f aca="false">IF(A59="","",SUMIFS('Food Log'!D:D,'Food Log'!A:A,A59))</f>
        <v/>
      </c>
      <c r="D59" s="11" t="str">
        <f aca="false">IF(A59="","",SUMIFS('Food Log'!E:E,'Food Log'!A:A,A59))</f>
        <v/>
      </c>
      <c r="E59" s="11" t="str">
        <f aca="false">IF(A59="","",SUMIFS('Food Log'!F:F,'Food Log'!A:A,A59))</f>
        <v/>
      </c>
      <c r="F59" s="11" t="str">
        <f aca="false">IF(A59="","",SUMIFS('Food Log'!C:C,'Food Log'!A:A,A59,'Food Log'!G:G,"Yes*"))</f>
        <v/>
      </c>
      <c r="G59" s="11" t="str">
        <f aca="false">IF(A59="","",'Profile &amp; Targets'!$B$24)</f>
        <v/>
      </c>
      <c r="H59" s="11" t="str">
        <f aca="false">IF(A59="","",'Profile &amp; Targets'!$B$25)</f>
        <v/>
      </c>
      <c r="I59" s="11" t="str">
        <f aca="false">IF(A59="","",'Profile &amp; Targets'!$B$27)</f>
        <v/>
      </c>
      <c r="J59" s="11" t="str">
        <f aca="false">IF(A59="","",'Profile &amp; Targets'!$B$26)</f>
        <v/>
      </c>
      <c r="K59" s="11" t="str">
        <f aca="false">IF(A59="","",B59-G59)</f>
        <v/>
      </c>
      <c r="L59" s="11" t="str">
        <f aca="false">IF(A59="","",C59-H59)</f>
        <v/>
      </c>
      <c r="M59" s="11" t="str">
        <f aca="false">IF(A59="","",D59-I59)</f>
        <v/>
      </c>
      <c r="N59" s="11" t="str">
        <f aca="false">IF(A59="","",E59-J59)</f>
        <v/>
      </c>
    </row>
    <row r="60" customFormat="false" ht="15" hidden="false" customHeight="true" outlineLevel="0" collapsed="false">
      <c r="A60" s="10"/>
      <c r="B60" s="11" t="str">
        <f aca="false">IF(A60="","",SUMIFS('Food Log'!C:C,'Food Log'!A:A,A60))</f>
        <v/>
      </c>
      <c r="C60" s="11" t="str">
        <f aca="false">IF(A60="","",SUMIFS('Food Log'!D:D,'Food Log'!A:A,A60))</f>
        <v/>
      </c>
      <c r="D60" s="11" t="str">
        <f aca="false">IF(A60="","",SUMIFS('Food Log'!E:E,'Food Log'!A:A,A60))</f>
        <v/>
      </c>
      <c r="E60" s="11" t="str">
        <f aca="false">IF(A60="","",SUMIFS('Food Log'!F:F,'Food Log'!A:A,A60))</f>
        <v/>
      </c>
      <c r="F60" s="11" t="str">
        <f aca="false">IF(A60="","",SUMIFS('Food Log'!C:C,'Food Log'!A:A,A60,'Food Log'!G:G,"Yes*"))</f>
        <v/>
      </c>
      <c r="G60" s="11" t="str">
        <f aca="false">IF(A60="","",'Profile &amp; Targets'!$B$24)</f>
        <v/>
      </c>
      <c r="H60" s="11" t="str">
        <f aca="false">IF(A60="","",'Profile &amp; Targets'!$B$25)</f>
        <v/>
      </c>
      <c r="I60" s="11" t="str">
        <f aca="false">IF(A60="","",'Profile &amp; Targets'!$B$27)</f>
        <v/>
      </c>
      <c r="J60" s="11" t="str">
        <f aca="false">IF(A60="","",'Profile &amp; Targets'!$B$26)</f>
        <v/>
      </c>
      <c r="K60" s="11" t="str">
        <f aca="false">IF(A60="","",B60-G60)</f>
        <v/>
      </c>
      <c r="L60" s="11" t="str">
        <f aca="false">IF(A60="","",C60-H60)</f>
        <v/>
      </c>
      <c r="M60" s="11" t="str">
        <f aca="false">IF(A60="","",D60-I60)</f>
        <v/>
      </c>
      <c r="N60" s="11" t="str">
        <f aca="false">IF(A60="","",E60-J60)</f>
        <v/>
      </c>
    </row>
    <row r="61" customFormat="false" ht="15" hidden="false" customHeight="true" outlineLevel="0" collapsed="false">
      <c r="A61" s="10"/>
      <c r="B61" s="11" t="str">
        <f aca="false">IF(A61="","",SUMIFS('Food Log'!C:C,'Food Log'!A:A,A61))</f>
        <v/>
      </c>
      <c r="C61" s="11" t="str">
        <f aca="false">IF(A61="","",SUMIFS('Food Log'!D:D,'Food Log'!A:A,A61))</f>
        <v/>
      </c>
      <c r="D61" s="11" t="str">
        <f aca="false">IF(A61="","",SUMIFS('Food Log'!E:E,'Food Log'!A:A,A61))</f>
        <v/>
      </c>
      <c r="E61" s="11" t="str">
        <f aca="false">IF(A61="","",SUMIFS('Food Log'!F:F,'Food Log'!A:A,A61))</f>
        <v/>
      </c>
      <c r="F61" s="11" t="str">
        <f aca="false">IF(A61="","",SUMIFS('Food Log'!C:C,'Food Log'!A:A,A61,'Food Log'!G:G,"Yes*"))</f>
        <v/>
      </c>
      <c r="G61" s="11" t="str">
        <f aca="false">IF(A61="","",'Profile &amp; Targets'!$B$24)</f>
        <v/>
      </c>
      <c r="H61" s="11" t="str">
        <f aca="false">IF(A61="","",'Profile &amp; Targets'!$B$25)</f>
        <v/>
      </c>
      <c r="I61" s="11" t="str">
        <f aca="false">IF(A61="","",'Profile &amp; Targets'!$B$27)</f>
        <v/>
      </c>
      <c r="J61" s="11" t="str">
        <f aca="false">IF(A61="","",'Profile &amp; Targets'!$B$26)</f>
        <v/>
      </c>
      <c r="K61" s="11" t="str">
        <f aca="false">IF(A61="","",B61-G61)</f>
        <v/>
      </c>
      <c r="L61" s="11" t="str">
        <f aca="false">IF(A61="","",C61-H61)</f>
        <v/>
      </c>
      <c r="M61" s="11" t="str">
        <f aca="false">IF(A61="","",D61-I61)</f>
        <v/>
      </c>
      <c r="N61" s="11" t="str">
        <f aca="false">IF(A61="","",E61-J61)</f>
        <v/>
      </c>
    </row>
    <row r="62" customFormat="false" ht="15" hidden="false" customHeight="true" outlineLevel="0" collapsed="false">
      <c r="A62" s="10"/>
      <c r="B62" s="11" t="str">
        <f aca="false">IF(A62="","",SUMIFS('Food Log'!C:C,'Food Log'!A:A,A62))</f>
        <v/>
      </c>
      <c r="C62" s="11" t="str">
        <f aca="false">IF(A62="","",SUMIFS('Food Log'!D:D,'Food Log'!A:A,A62))</f>
        <v/>
      </c>
      <c r="D62" s="11" t="str">
        <f aca="false">IF(A62="","",SUMIFS('Food Log'!E:E,'Food Log'!A:A,A62))</f>
        <v/>
      </c>
      <c r="E62" s="11" t="str">
        <f aca="false">IF(A62="","",SUMIFS('Food Log'!F:F,'Food Log'!A:A,A62))</f>
        <v/>
      </c>
      <c r="F62" s="11" t="str">
        <f aca="false">IF(A62="","",SUMIFS('Food Log'!C:C,'Food Log'!A:A,A62,'Food Log'!G:G,"Yes*"))</f>
        <v/>
      </c>
      <c r="G62" s="11" t="str">
        <f aca="false">IF(A62="","",'Profile &amp; Targets'!$B$24)</f>
        <v/>
      </c>
      <c r="H62" s="11" t="str">
        <f aca="false">IF(A62="","",'Profile &amp; Targets'!$B$25)</f>
        <v/>
      </c>
      <c r="I62" s="11" t="str">
        <f aca="false">IF(A62="","",'Profile &amp; Targets'!$B$27)</f>
        <v/>
      </c>
      <c r="J62" s="11" t="str">
        <f aca="false">IF(A62="","",'Profile &amp; Targets'!$B$26)</f>
        <v/>
      </c>
      <c r="K62" s="11" t="str">
        <f aca="false">IF(A62="","",B62-G62)</f>
        <v/>
      </c>
      <c r="L62" s="11" t="str">
        <f aca="false">IF(A62="","",C62-H62)</f>
        <v/>
      </c>
      <c r="M62" s="11" t="str">
        <f aca="false">IF(A62="","",D62-I62)</f>
        <v/>
      </c>
      <c r="N62" s="11" t="str">
        <f aca="false">IF(A62="","",E62-J62)</f>
        <v/>
      </c>
    </row>
    <row r="63" customFormat="false" ht="15" hidden="false" customHeight="true" outlineLevel="0" collapsed="false">
      <c r="A63" s="10"/>
      <c r="B63" s="11" t="str">
        <f aca="false">IF(A63="","",SUMIFS('Food Log'!C:C,'Food Log'!A:A,A63))</f>
        <v/>
      </c>
      <c r="C63" s="11" t="str">
        <f aca="false">IF(A63="","",SUMIFS('Food Log'!D:D,'Food Log'!A:A,A63))</f>
        <v/>
      </c>
      <c r="D63" s="11" t="str">
        <f aca="false">IF(A63="","",SUMIFS('Food Log'!E:E,'Food Log'!A:A,A63))</f>
        <v/>
      </c>
      <c r="E63" s="11" t="str">
        <f aca="false">IF(A63="","",SUMIFS('Food Log'!F:F,'Food Log'!A:A,A63))</f>
        <v/>
      </c>
      <c r="F63" s="11" t="str">
        <f aca="false">IF(A63="","",SUMIFS('Food Log'!C:C,'Food Log'!A:A,A63,'Food Log'!G:G,"Yes*"))</f>
        <v/>
      </c>
      <c r="G63" s="11" t="str">
        <f aca="false">IF(A63="","",'Profile &amp; Targets'!$B$24)</f>
        <v/>
      </c>
      <c r="H63" s="11" t="str">
        <f aca="false">IF(A63="","",'Profile &amp; Targets'!$B$25)</f>
        <v/>
      </c>
      <c r="I63" s="11" t="str">
        <f aca="false">IF(A63="","",'Profile &amp; Targets'!$B$27)</f>
        <v/>
      </c>
      <c r="J63" s="11" t="str">
        <f aca="false">IF(A63="","",'Profile &amp; Targets'!$B$26)</f>
        <v/>
      </c>
      <c r="K63" s="11" t="str">
        <f aca="false">IF(A63="","",B63-G63)</f>
        <v/>
      </c>
      <c r="L63" s="11" t="str">
        <f aca="false">IF(A63="","",C63-H63)</f>
        <v/>
      </c>
      <c r="M63" s="11" t="str">
        <f aca="false">IF(A63="","",D63-I63)</f>
        <v/>
      </c>
      <c r="N63" s="11" t="str">
        <f aca="false">IF(A63="","",E63-J63)</f>
        <v/>
      </c>
    </row>
    <row r="64" customFormat="false" ht="15" hidden="false" customHeight="true" outlineLevel="0" collapsed="false">
      <c r="A64" s="10"/>
      <c r="B64" s="11" t="str">
        <f aca="false">IF(A64="","",SUMIFS('Food Log'!C:C,'Food Log'!A:A,A64))</f>
        <v/>
      </c>
      <c r="C64" s="11" t="str">
        <f aca="false">IF(A64="","",SUMIFS('Food Log'!D:D,'Food Log'!A:A,A64))</f>
        <v/>
      </c>
      <c r="D64" s="11" t="str">
        <f aca="false">IF(A64="","",SUMIFS('Food Log'!E:E,'Food Log'!A:A,A64))</f>
        <v/>
      </c>
      <c r="E64" s="11" t="str">
        <f aca="false">IF(A64="","",SUMIFS('Food Log'!F:F,'Food Log'!A:A,A64))</f>
        <v/>
      </c>
      <c r="F64" s="11" t="str">
        <f aca="false">IF(A64="","",SUMIFS('Food Log'!C:C,'Food Log'!A:A,A64,'Food Log'!G:G,"Yes*"))</f>
        <v/>
      </c>
      <c r="G64" s="11" t="str">
        <f aca="false">IF(A64="","",'Profile &amp; Targets'!$B$24)</f>
        <v/>
      </c>
      <c r="H64" s="11" t="str">
        <f aca="false">IF(A64="","",'Profile &amp; Targets'!$B$25)</f>
        <v/>
      </c>
      <c r="I64" s="11" t="str">
        <f aca="false">IF(A64="","",'Profile &amp; Targets'!$B$27)</f>
        <v/>
      </c>
      <c r="J64" s="11" t="str">
        <f aca="false">IF(A64="","",'Profile &amp; Targets'!$B$26)</f>
        <v/>
      </c>
      <c r="K64" s="11" t="str">
        <f aca="false">IF(A64="","",B64-G64)</f>
        <v/>
      </c>
      <c r="L64" s="11" t="str">
        <f aca="false">IF(A64="","",C64-H64)</f>
        <v/>
      </c>
      <c r="M64" s="11" t="str">
        <f aca="false">IF(A64="","",D64-I64)</f>
        <v/>
      </c>
      <c r="N64" s="11" t="str">
        <f aca="false">IF(A64="","",E64-J64)</f>
        <v/>
      </c>
    </row>
    <row r="65" customFormat="false" ht="15" hidden="false" customHeight="true" outlineLevel="0" collapsed="false">
      <c r="A65" s="10"/>
      <c r="B65" s="11" t="str">
        <f aca="false">IF(A65="","",SUMIFS('Food Log'!C:C,'Food Log'!A:A,A65))</f>
        <v/>
      </c>
      <c r="C65" s="11" t="str">
        <f aca="false">IF(A65="","",SUMIFS('Food Log'!D:D,'Food Log'!A:A,A65))</f>
        <v/>
      </c>
      <c r="D65" s="11" t="str">
        <f aca="false">IF(A65="","",SUMIFS('Food Log'!E:E,'Food Log'!A:A,A65))</f>
        <v/>
      </c>
      <c r="E65" s="11" t="str">
        <f aca="false">IF(A65="","",SUMIFS('Food Log'!F:F,'Food Log'!A:A,A65))</f>
        <v/>
      </c>
      <c r="F65" s="11" t="str">
        <f aca="false">IF(A65="","",SUMIFS('Food Log'!C:C,'Food Log'!A:A,A65,'Food Log'!G:G,"Yes*"))</f>
        <v/>
      </c>
      <c r="G65" s="11" t="str">
        <f aca="false">IF(A65="","",'Profile &amp; Targets'!$B$24)</f>
        <v/>
      </c>
      <c r="H65" s="11" t="str">
        <f aca="false">IF(A65="","",'Profile &amp; Targets'!$B$25)</f>
        <v/>
      </c>
      <c r="I65" s="11" t="str">
        <f aca="false">IF(A65="","",'Profile &amp; Targets'!$B$27)</f>
        <v/>
      </c>
      <c r="J65" s="11" t="str">
        <f aca="false">IF(A65="","",'Profile &amp; Targets'!$B$26)</f>
        <v/>
      </c>
      <c r="K65" s="11" t="str">
        <f aca="false">IF(A65="","",B65-G65)</f>
        <v/>
      </c>
      <c r="L65" s="11" t="str">
        <f aca="false">IF(A65="","",C65-H65)</f>
        <v/>
      </c>
      <c r="M65" s="11" t="str">
        <f aca="false">IF(A65="","",D65-I65)</f>
        <v/>
      </c>
      <c r="N65" s="11" t="str">
        <f aca="false">IF(A65="","",E65-J65)</f>
        <v/>
      </c>
    </row>
    <row r="66" customFormat="false" ht="15" hidden="false" customHeight="true" outlineLevel="0" collapsed="false">
      <c r="A66" s="10"/>
      <c r="B66" s="11" t="str">
        <f aca="false">IF(A66="","",SUMIFS('Food Log'!C:C,'Food Log'!A:A,A66))</f>
        <v/>
      </c>
      <c r="C66" s="11" t="str">
        <f aca="false">IF(A66="","",SUMIFS('Food Log'!D:D,'Food Log'!A:A,A66))</f>
        <v/>
      </c>
      <c r="D66" s="11" t="str">
        <f aca="false">IF(A66="","",SUMIFS('Food Log'!E:E,'Food Log'!A:A,A66))</f>
        <v/>
      </c>
      <c r="E66" s="11" t="str">
        <f aca="false">IF(A66="","",SUMIFS('Food Log'!F:F,'Food Log'!A:A,A66))</f>
        <v/>
      </c>
      <c r="F66" s="11" t="str">
        <f aca="false">IF(A66="","",SUMIFS('Food Log'!C:C,'Food Log'!A:A,A66,'Food Log'!G:G,"Yes*"))</f>
        <v/>
      </c>
      <c r="G66" s="11" t="str">
        <f aca="false">IF(A66="","",'Profile &amp; Targets'!$B$24)</f>
        <v/>
      </c>
      <c r="H66" s="11" t="str">
        <f aca="false">IF(A66="","",'Profile &amp; Targets'!$B$25)</f>
        <v/>
      </c>
      <c r="I66" s="11" t="str">
        <f aca="false">IF(A66="","",'Profile &amp; Targets'!$B$27)</f>
        <v/>
      </c>
      <c r="J66" s="11" t="str">
        <f aca="false">IF(A66="","",'Profile &amp; Targets'!$B$26)</f>
        <v/>
      </c>
      <c r="K66" s="11" t="str">
        <f aca="false">IF(A66="","",B66-G66)</f>
        <v/>
      </c>
      <c r="L66" s="11" t="str">
        <f aca="false">IF(A66="","",C66-H66)</f>
        <v/>
      </c>
      <c r="M66" s="11" t="str">
        <f aca="false">IF(A66="","",D66-I66)</f>
        <v/>
      </c>
      <c r="N66" s="11" t="str">
        <f aca="false">IF(A66="","",E66-J66)</f>
        <v/>
      </c>
    </row>
    <row r="67" customFormat="false" ht="15" hidden="false" customHeight="true" outlineLevel="0" collapsed="false">
      <c r="A67" s="10"/>
      <c r="B67" s="11" t="str">
        <f aca="false">IF(A67="","",SUMIFS('Food Log'!C:C,'Food Log'!A:A,A67))</f>
        <v/>
      </c>
      <c r="C67" s="11" t="str">
        <f aca="false">IF(A67="","",SUMIFS('Food Log'!D:D,'Food Log'!A:A,A67))</f>
        <v/>
      </c>
      <c r="D67" s="11" t="str">
        <f aca="false">IF(A67="","",SUMIFS('Food Log'!E:E,'Food Log'!A:A,A67))</f>
        <v/>
      </c>
      <c r="E67" s="11" t="str">
        <f aca="false">IF(A67="","",SUMIFS('Food Log'!F:F,'Food Log'!A:A,A67))</f>
        <v/>
      </c>
      <c r="F67" s="11" t="str">
        <f aca="false">IF(A67="","",SUMIFS('Food Log'!C:C,'Food Log'!A:A,A67,'Food Log'!G:G,"Yes*"))</f>
        <v/>
      </c>
      <c r="G67" s="11" t="str">
        <f aca="false">IF(A67="","",'Profile &amp; Targets'!$B$24)</f>
        <v/>
      </c>
      <c r="H67" s="11" t="str">
        <f aca="false">IF(A67="","",'Profile &amp; Targets'!$B$25)</f>
        <v/>
      </c>
      <c r="I67" s="11" t="str">
        <f aca="false">IF(A67="","",'Profile &amp; Targets'!$B$27)</f>
        <v/>
      </c>
      <c r="J67" s="11" t="str">
        <f aca="false">IF(A67="","",'Profile &amp; Targets'!$B$26)</f>
        <v/>
      </c>
      <c r="K67" s="11" t="str">
        <f aca="false">IF(A67="","",B67-G67)</f>
        <v/>
      </c>
      <c r="L67" s="11" t="str">
        <f aca="false">IF(A67="","",C67-H67)</f>
        <v/>
      </c>
      <c r="M67" s="11" t="str">
        <f aca="false">IF(A67="","",D67-I67)</f>
        <v/>
      </c>
      <c r="N67" s="11" t="str">
        <f aca="false">IF(A67="","",E67-J67)</f>
        <v/>
      </c>
    </row>
    <row r="68" customFormat="false" ht="15" hidden="false" customHeight="true" outlineLevel="0" collapsed="false">
      <c r="A68" s="10"/>
      <c r="B68" s="11" t="str">
        <f aca="false">IF(A68="","",SUMIFS('Food Log'!C:C,'Food Log'!A:A,A68))</f>
        <v/>
      </c>
      <c r="C68" s="11" t="str">
        <f aca="false">IF(A68="","",SUMIFS('Food Log'!D:D,'Food Log'!A:A,A68))</f>
        <v/>
      </c>
      <c r="D68" s="11" t="str">
        <f aca="false">IF(A68="","",SUMIFS('Food Log'!E:E,'Food Log'!A:A,A68))</f>
        <v/>
      </c>
      <c r="E68" s="11" t="str">
        <f aca="false">IF(A68="","",SUMIFS('Food Log'!F:F,'Food Log'!A:A,A68))</f>
        <v/>
      </c>
      <c r="F68" s="11" t="str">
        <f aca="false">IF(A68="","",SUMIFS('Food Log'!C:C,'Food Log'!A:A,A68,'Food Log'!G:G,"Yes*"))</f>
        <v/>
      </c>
      <c r="G68" s="11" t="str">
        <f aca="false">IF(A68="","",'Profile &amp; Targets'!$B$24)</f>
        <v/>
      </c>
      <c r="H68" s="11" t="str">
        <f aca="false">IF(A68="","",'Profile &amp; Targets'!$B$25)</f>
        <v/>
      </c>
      <c r="I68" s="11" t="str">
        <f aca="false">IF(A68="","",'Profile &amp; Targets'!$B$27)</f>
        <v/>
      </c>
      <c r="J68" s="11" t="str">
        <f aca="false">IF(A68="","",'Profile &amp; Targets'!$B$26)</f>
        <v/>
      </c>
      <c r="K68" s="11" t="str">
        <f aca="false">IF(A68="","",B68-G68)</f>
        <v/>
      </c>
      <c r="L68" s="11" t="str">
        <f aca="false">IF(A68="","",C68-H68)</f>
        <v/>
      </c>
      <c r="M68" s="11" t="str">
        <f aca="false">IF(A68="","",D68-I68)</f>
        <v/>
      </c>
      <c r="N68" s="11" t="str">
        <f aca="false">IF(A68="","",E68-J68)</f>
        <v/>
      </c>
    </row>
    <row r="69" customFormat="false" ht="15" hidden="false" customHeight="true" outlineLevel="0" collapsed="false">
      <c r="A69" s="10"/>
      <c r="B69" s="11" t="str">
        <f aca="false">IF(A69="","",SUMIFS('Food Log'!C:C,'Food Log'!A:A,A69))</f>
        <v/>
      </c>
      <c r="C69" s="11" t="str">
        <f aca="false">IF(A69="","",SUMIFS('Food Log'!D:D,'Food Log'!A:A,A69))</f>
        <v/>
      </c>
      <c r="D69" s="11" t="str">
        <f aca="false">IF(A69="","",SUMIFS('Food Log'!E:E,'Food Log'!A:A,A69))</f>
        <v/>
      </c>
      <c r="E69" s="11" t="str">
        <f aca="false">IF(A69="","",SUMIFS('Food Log'!F:F,'Food Log'!A:A,A69))</f>
        <v/>
      </c>
      <c r="F69" s="11" t="str">
        <f aca="false">IF(A69="","",SUMIFS('Food Log'!C:C,'Food Log'!A:A,A69,'Food Log'!G:G,"Yes*"))</f>
        <v/>
      </c>
      <c r="G69" s="11" t="str">
        <f aca="false">IF(A69="","",'Profile &amp; Targets'!$B$24)</f>
        <v/>
      </c>
      <c r="H69" s="11" t="str">
        <f aca="false">IF(A69="","",'Profile &amp; Targets'!$B$25)</f>
        <v/>
      </c>
      <c r="I69" s="11" t="str">
        <f aca="false">IF(A69="","",'Profile &amp; Targets'!$B$27)</f>
        <v/>
      </c>
      <c r="J69" s="11" t="str">
        <f aca="false">IF(A69="","",'Profile &amp; Targets'!$B$26)</f>
        <v/>
      </c>
      <c r="K69" s="11" t="str">
        <f aca="false">IF(A69="","",B69-G69)</f>
        <v/>
      </c>
      <c r="L69" s="11" t="str">
        <f aca="false">IF(A69="","",C69-H69)</f>
        <v/>
      </c>
      <c r="M69" s="11" t="str">
        <f aca="false">IF(A69="","",D69-I69)</f>
        <v/>
      </c>
      <c r="N69" s="11" t="str">
        <f aca="false">IF(A69="","",E69-J69)</f>
        <v/>
      </c>
    </row>
    <row r="70" customFormat="false" ht="15" hidden="false" customHeight="true" outlineLevel="0" collapsed="false">
      <c r="A70" s="10"/>
      <c r="B70" s="11" t="str">
        <f aca="false">IF(A70="","",SUMIFS('Food Log'!C:C,'Food Log'!A:A,A70))</f>
        <v/>
      </c>
      <c r="C70" s="11" t="str">
        <f aca="false">IF(A70="","",SUMIFS('Food Log'!D:D,'Food Log'!A:A,A70))</f>
        <v/>
      </c>
      <c r="D70" s="11" t="str">
        <f aca="false">IF(A70="","",SUMIFS('Food Log'!E:E,'Food Log'!A:A,A70))</f>
        <v/>
      </c>
      <c r="E70" s="11" t="str">
        <f aca="false">IF(A70="","",SUMIFS('Food Log'!F:F,'Food Log'!A:A,A70))</f>
        <v/>
      </c>
      <c r="F70" s="11" t="str">
        <f aca="false">IF(A70="","",SUMIFS('Food Log'!C:C,'Food Log'!A:A,A70,'Food Log'!G:G,"Yes*"))</f>
        <v/>
      </c>
      <c r="G70" s="11" t="str">
        <f aca="false">IF(A70="","",'Profile &amp; Targets'!$B$24)</f>
        <v/>
      </c>
      <c r="H70" s="11" t="str">
        <f aca="false">IF(A70="","",'Profile &amp; Targets'!$B$25)</f>
        <v/>
      </c>
      <c r="I70" s="11" t="str">
        <f aca="false">IF(A70="","",'Profile &amp; Targets'!$B$27)</f>
        <v/>
      </c>
      <c r="J70" s="11" t="str">
        <f aca="false">IF(A70="","",'Profile &amp; Targets'!$B$26)</f>
        <v/>
      </c>
      <c r="K70" s="11" t="str">
        <f aca="false">IF(A70="","",B70-G70)</f>
        <v/>
      </c>
      <c r="L70" s="11" t="str">
        <f aca="false">IF(A70="","",C70-H70)</f>
        <v/>
      </c>
      <c r="M70" s="11" t="str">
        <f aca="false">IF(A70="","",D70-I70)</f>
        <v/>
      </c>
      <c r="N70" s="11" t="str">
        <f aca="false">IF(A70="","",E70-J70)</f>
        <v/>
      </c>
    </row>
    <row r="71" customFormat="false" ht="15" hidden="false" customHeight="true" outlineLevel="0" collapsed="false">
      <c r="A71" s="10"/>
      <c r="B71" s="11" t="str">
        <f aca="false">IF(A71="","",SUMIFS('Food Log'!C:C,'Food Log'!A:A,A71))</f>
        <v/>
      </c>
      <c r="C71" s="11" t="str">
        <f aca="false">IF(A71="","",SUMIFS('Food Log'!D:D,'Food Log'!A:A,A71))</f>
        <v/>
      </c>
      <c r="D71" s="11" t="str">
        <f aca="false">IF(A71="","",SUMIFS('Food Log'!E:E,'Food Log'!A:A,A71))</f>
        <v/>
      </c>
      <c r="E71" s="11" t="str">
        <f aca="false">IF(A71="","",SUMIFS('Food Log'!F:F,'Food Log'!A:A,A71))</f>
        <v/>
      </c>
      <c r="F71" s="11" t="str">
        <f aca="false">IF(A71="","",SUMIFS('Food Log'!C:C,'Food Log'!A:A,A71,'Food Log'!G:G,"Yes*"))</f>
        <v/>
      </c>
      <c r="G71" s="11" t="str">
        <f aca="false">IF(A71="","",'Profile &amp; Targets'!$B$24)</f>
        <v/>
      </c>
      <c r="H71" s="11" t="str">
        <f aca="false">IF(A71="","",'Profile &amp; Targets'!$B$25)</f>
        <v/>
      </c>
      <c r="I71" s="11" t="str">
        <f aca="false">IF(A71="","",'Profile &amp; Targets'!$B$27)</f>
        <v/>
      </c>
      <c r="J71" s="11" t="str">
        <f aca="false">IF(A71="","",'Profile &amp; Targets'!$B$26)</f>
        <v/>
      </c>
      <c r="K71" s="11" t="str">
        <f aca="false">IF(A71="","",B71-G71)</f>
        <v/>
      </c>
      <c r="L71" s="11" t="str">
        <f aca="false">IF(A71="","",C71-H71)</f>
        <v/>
      </c>
      <c r="M71" s="11" t="str">
        <f aca="false">IF(A71="","",D71-I71)</f>
        <v/>
      </c>
      <c r="N71" s="11" t="str">
        <f aca="false">IF(A71="","",E71-J71)</f>
        <v/>
      </c>
    </row>
    <row r="72" customFormat="false" ht="15" hidden="false" customHeight="true" outlineLevel="0" collapsed="false">
      <c r="A72" s="10"/>
      <c r="B72" s="11" t="str">
        <f aca="false">IF(A72="","",SUMIFS('Food Log'!C:C,'Food Log'!A:A,A72))</f>
        <v/>
      </c>
      <c r="C72" s="11" t="str">
        <f aca="false">IF(A72="","",SUMIFS('Food Log'!D:D,'Food Log'!A:A,A72))</f>
        <v/>
      </c>
      <c r="D72" s="11" t="str">
        <f aca="false">IF(A72="","",SUMIFS('Food Log'!E:E,'Food Log'!A:A,A72))</f>
        <v/>
      </c>
      <c r="E72" s="11" t="str">
        <f aca="false">IF(A72="","",SUMIFS('Food Log'!F:F,'Food Log'!A:A,A72))</f>
        <v/>
      </c>
      <c r="F72" s="11" t="str">
        <f aca="false">IF(A72="","",SUMIFS('Food Log'!C:C,'Food Log'!A:A,A72,'Food Log'!G:G,"Yes*"))</f>
        <v/>
      </c>
      <c r="G72" s="11" t="str">
        <f aca="false">IF(A72="","",'Profile &amp; Targets'!$B$24)</f>
        <v/>
      </c>
      <c r="H72" s="11" t="str">
        <f aca="false">IF(A72="","",'Profile &amp; Targets'!$B$25)</f>
        <v/>
      </c>
      <c r="I72" s="11" t="str">
        <f aca="false">IF(A72="","",'Profile &amp; Targets'!$B$27)</f>
        <v/>
      </c>
      <c r="J72" s="11" t="str">
        <f aca="false">IF(A72="","",'Profile &amp; Targets'!$B$26)</f>
        <v/>
      </c>
      <c r="K72" s="11" t="str">
        <f aca="false">IF(A72="","",B72-G72)</f>
        <v/>
      </c>
      <c r="L72" s="11" t="str">
        <f aca="false">IF(A72="","",C72-H72)</f>
        <v/>
      </c>
      <c r="M72" s="11" t="str">
        <f aca="false">IF(A72="","",D72-I72)</f>
        <v/>
      </c>
      <c r="N72" s="11" t="str">
        <f aca="false">IF(A72="","",E72-J72)</f>
        <v/>
      </c>
    </row>
    <row r="73" customFormat="false" ht="15" hidden="false" customHeight="true" outlineLevel="0" collapsed="false">
      <c r="A73" s="10"/>
      <c r="B73" s="11" t="str">
        <f aca="false">IF(A73="","",SUMIFS('Food Log'!C:C,'Food Log'!A:A,A73))</f>
        <v/>
      </c>
      <c r="C73" s="11" t="str">
        <f aca="false">IF(A73="","",SUMIFS('Food Log'!D:D,'Food Log'!A:A,A73))</f>
        <v/>
      </c>
      <c r="D73" s="11" t="str">
        <f aca="false">IF(A73="","",SUMIFS('Food Log'!E:E,'Food Log'!A:A,A73))</f>
        <v/>
      </c>
      <c r="E73" s="11" t="str">
        <f aca="false">IF(A73="","",SUMIFS('Food Log'!F:F,'Food Log'!A:A,A73))</f>
        <v/>
      </c>
      <c r="F73" s="11" t="str">
        <f aca="false">IF(A73="","",SUMIFS('Food Log'!C:C,'Food Log'!A:A,A73,'Food Log'!G:G,"Yes*"))</f>
        <v/>
      </c>
      <c r="G73" s="11" t="str">
        <f aca="false">IF(A73="","",'Profile &amp; Targets'!$B$24)</f>
        <v/>
      </c>
      <c r="H73" s="11" t="str">
        <f aca="false">IF(A73="","",'Profile &amp; Targets'!$B$25)</f>
        <v/>
      </c>
      <c r="I73" s="11" t="str">
        <f aca="false">IF(A73="","",'Profile &amp; Targets'!$B$27)</f>
        <v/>
      </c>
      <c r="J73" s="11" t="str">
        <f aca="false">IF(A73="","",'Profile &amp; Targets'!$B$26)</f>
        <v/>
      </c>
      <c r="K73" s="11" t="str">
        <f aca="false">IF(A73="","",B73-G73)</f>
        <v/>
      </c>
      <c r="L73" s="11" t="str">
        <f aca="false">IF(A73="","",C73-H73)</f>
        <v/>
      </c>
      <c r="M73" s="11" t="str">
        <f aca="false">IF(A73="","",D73-I73)</f>
        <v/>
      </c>
      <c r="N73" s="11" t="str">
        <f aca="false">IF(A73="","",E73-J73)</f>
        <v/>
      </c>
    </row>
    <row r="74" customFormat="false" ht="15" hidden="false" customHeight="true" outlineLevel="0" collapsed="false">
      <c r="A74" s="10"/>
      <c r="B74" s="11" t="str">
        <f aca="false">IF(A74="","",SUMIFS('Food Log'!C:C,'Food Log'!A:A,A74))</f>
        <v/>
      </c>
      <c r="C74" s="11" t="str">
        <f aca="false">IF(A74="","",SUMIFS('Food Log'!D:D,'Food Log'!A:A,A74))</f>
        <v/>
      </c>
      <c r="D74" s="11" t="str">
        <f aca="false">IF(A74="","",SUMIFS('Food Log'!E:E,'Food Log'!A:A,A74))</f>
        <v/>
      </c>
      <c r="E74" s="11" t="str">
        <f aca="false">IF(A74="","",SUMIFS('Food Log'!F:F,'Food Log'!A:A,A74))</f>
        <v/>
      </c>
      <c r="F74" s="11" t="str">
        <f aca="false">IF(A74="","",SUMIFS('Food Log'!C:C,'Food Log'!A:A,A74,'Food Log'!G:G,"Yes*"))</f>
        <v/>
      </c>
      <c r="G74" s="11" t="str">
        <f aca="false">IF(A74="","",'Profile &amp; Targets'!$B$24)</f>
        <v/>
      </c>
      <c r="H74" s="11" t="str">
        <f aca="false">IF(A74="","",'Profile &amp; Targets'!$B$25)</f>
        <v/>
      </c>
      <c r="I74" s="11" t="str">
        <f aca="false">IF(A74="","",'Profile &amp; Targets'!$B$27)</f>
        <v/>
      </c>
      <c r="J74" s="11" t="str">
        <f aca="false">IF(A74="","",'Profile &amp; Targets'!$B$26)</f>
        <v/>
      </c>
      <c r="K74" s="11" t="str">
        <f aca="false">IF(A74="","",B74-G74)</f>
        <v/>
      </c>
      <c r="L74" s="11" t="str">
        <f aca="false">IF(A74="","",C74-H74)</f>
        <v/>
      </c>
      <c r="M74" s="11" t="str">
        <f aca="false">IF(A74="","",D74-I74)</f>
        <v/>
      </c>
      <c r="N74" s="11" t="str">
        <f aca="false">IF(A74="","",E74-J74)</f>
        <v/>
      </c>
    </row>
    <row r="75" customFormat="false" ht="15" hidden="false" customHeight="true" outlineLevel="0" collapsed="false">
      <c r="A75" s="10"/>
      <c r="B75" s="11" t="str">
        <f aca="false">IF(A75="","",SUMIFS('Food Log'!C:C,'Food Log'!A:A,A75))</f>
        <v/>
      </c>
      <c r="C75" s="11" t="str">
        <f aca="false">IF(A75="","",SUMIFS('Food Log'!D:D,'Food Log'!A:A,A75))</f>
        <v/>
      </c>
      <c r="D75" s="11" t="str">
        <f aca="false">IF(A75="","",SUMIFS('Food Log'!E:E,'Food Log'!A:A,A75))</f>
        <v/>
      </c>
      <c r="E75" s="11" t="str">
        <f aca="false">IF(A75="","",SUMIFS('Food Log'!F:F,'Food Log'!A:A,A75))</f>
        <v/>
      </c>
      <c r="F75" s="11" t="str">
        <f aca="false">IF(A75="","",SUMIFS('Food Log'!C:C,'Food Log'!A:A,A75,'Food Log'!G:G,"Yes*"))</f>
        <v/>
      </c>
      <c r="G75" s="11" t="str">
        <f aca="false">IF(A75="","",'Profile &amp; Targets'!$B$24)</f>
        <v/>
      </c>
      <c r="H75" s="11" t="str">
        <f aca="false">IF(A75="","",'Profile &amp; Targets'!$B$25)</f>
        <v/>
      </c>
      <c r="I75" s="11" t="str">
        <f aca="false">IF(A75="","",'Profile &amp; Targets'!$B$27)</f>
        <v/>
      </c>
      <c r="J75" s="11" t="str">
        <f aca="false">IF(A75="","",'Profile &amp; Targets'!$B$26)</f>
        <v/>
      </c>
      <c r="K75" s="11" t="str">
        <f aca="false">IF(A75="","",B75-G75)</f>
        <v/>
      </c>
      <c r="L75" s="11" t="str">
        <f aca="false">IF(A75="","",C75-H75)</f>
        <v/>
      </c>
      <c r="M75" s="11" t="str">
        <f aca="false">IF(A75="","",D75-I75)</f>
        <v/>
      </c>
      <c r="N75" s="11" t="str">
        <f aca="false">IF(A75="","",E75-J75)</f>
        <v/>
      </c>
    </row>
    <row r="76" customFormat="false" ht="15" hidden="false" customHeight="true" outlineLevel="0" collapsed="false">
      <c r="A76" s="10"/>
      <c r="B76" s="11" t="str">
        <f aca="false">IF(A76="","",SUMIFS('Food Log'!C:C,'Food Log'!A:A,A76))</f>
        <v/>
      </c>
      <c r="C76" s="11" t="str">
        <f aca="false">IF(A76="","",SUMIFS('Food Log'!D:D,'Food Log'!A:A,A76))</f>
        <v/>
      </c>
      <c r="D76" s="11" t="str">
        <f aca="false">IF(A76="","",SUMIFS('Food Log'!E:E,'Food Log'!A:A,A76))</f>
        <v/>
      </c>
      <c r="E76" s="11" t="str">
        <f aca="false">IF(A76="","",SUMIFS('Food Log'!F:F,'Food Log'!A:A,A76))</f>
        <v/>
      </c>
      <c r="F76" s="11" t="str">
        <f aca="false">IF(A76="","",SUMIFS('Food Log'!C:C,'Food Log'!A:A,A76,'Food Log'!G:G,"Yes*"))</f>
        <v/>
      </c>
      <c r="G76" s="11" t="str">
        <f aca="false">IF(A76="","",'Profile &amp; Targets'!$B$24)</f>
        <v/>
      </c>
      <c r="H76" s="11" t="str">
        <f aca="false">IF(A76="","",'Profile &amp; Targets'!$B$25)</f>
        <v/>
      </c>
      <c r="I76" s="11" t="str">
        <f aca="false">IF(A76="","",'Profile &amp; Targets'!$B$27)</f>
        <v/>
      </c>
      <c r="J76" s="11" t="str">
        <f aca="false">IF(A76="","",'Profile &amp; Targets'!$B$26)</f>
        <v/>
      </c>
      <c r="K76" s="11" t="str">
        <f aca="false">IF(A76="","",B76-G76)</f>
        <v/>
      </c>
      <c r="L76" s="11" t="str">
        <f aca="false">IF(A76="","",C76-H76)</f>
        <v/>
      </c>
      <c r="M76" s="11" t="str">
        <f aca="false">IF(A76="","",D76-I76)</f>
        <v/>
      </c>
      <c r="N76" s="11" t="str">
        <f aca="false">IF(A76="","",E76-J76)</f>
        <v/>
      </c>
    </row>
    <row r="77" customFormat="false" ht="15" hidden="false" customHeight="true" outlineLevel="0" collapsed="false">
      <c r="A77" s="10"/>
      <c r="B77" s="11" t="str">
        <f aca="false">IF(A77="","",SUMIFS('Food Log'!C:C,'Food Log'!A:A,A77))</f>
        <v/>
      </c>
      <c r="C77" s="11" t="str">
        <f aca="false">IF(A77="","",SUMIFS('Food Log'!D:D,'Food Log'!A:A,A77))</f>
        <v/>
      </c>
      <c r="D77" s="11" t="str">
        <f aca="false">IF(A77="","",SUMIFS('Food Log'!E:E,'Food Log'!A:A,A77))</f>
        <v/>
      </c>
      <c r="E77" s="11" t="str">
        <f aca="false">IF(A77="","",SUMIFS('Food Log'!F:F,'Food Log'!A:A,A77))</f>
        <v/>
      </c>
      <c r="F77" s="11" t="str">
        <f aca="false">IF(A77="","",SUMIFS('Food Log'!C:C,'Food Log'!A:A,A77,'Food Log'!G:G,"Yes*"))</f>
        <v/>
      </c>
      <c r="G77" s="11" t="str">
        <f aca="false">IF(A77="","",'Profile &amp; Targets'!$B$24)</f>
        <v/>
      </c>
      <c r="H77" s="11" t="str">
        <f aca="false">IF(A77="","",'Profile &amp; Targets'!$B$25)</f>
        <v/>
      </c>
      <c r="I77" s="11" t="str">
        <f aca="false">IF(A77="","",'Profile &amp; Targets'!$B$27)</f>
        <v/>
      </c>
      <c r="J77" s="11" t="str">
        <f aca="false">IF(A77="","",'Profile &amp; Targets'!$B$26)</f>
        <v/>
      </c>
      <c r="K77" s="11" t="str">
        <f aca="false">IF(A77="","",B77-G77)</f>
        <v/>
      </c>
      <c r="L77" s="11" t="str">
        <f aca="false">IF(A77="","",C77-H77)</f>
        <v/>
      </c>
      <c r="M77" s="11" t="str">
        <f aca="false">IF(A77="","",D77-I77)</f>
        <v/>
      </c>
      <c r="N77" s="11" t="str">
        <f aca="false">IF(A77="","",E77-J77)</f>
        <v/>
      </c>
    </row>
    <row r="78" customFormat="false" ht="15" hidden="false" customHeight="true" outlineLevel="0" collapsed="false">
      <c r="A78" s="10"/>
      <c r="B78" s="11" t="str">
        <f aca="false">IF(A78="","",SUMIFS('Food Log'!C:C,'Food Log'!A:A,A78))</f>
        <v/>
      </c>
      <c r="C78" s="11" t="str">
        <f aca="false">IF(A78="","",SUMIFS('Food Log'!D:D,'Food Log'!A:A,A78))</f>
        <v/>
      </c>
      <c r="D78" s="11" t="str">
        <f aca="false">IF(A78="","",SUMIFS('Food Log'!E:E,'Food Log'!A:A,A78))</f>
        <v/>
      </c>
      <c r="E78" s="11" t="str">
        <f aca="false">IF(A78="","",SUMIFS('Food Log'!F:F,'Food Log'!A:A,A78))</f>
        <v/>
      </c>
      <c r="F78" s="11" t="str">
        <f aca="false">IF(A78="","",SUMIFS('Food Log'!C:C,'Food Log'!A:A,A78,'Food Log'!G:G,"Yes*"))</f>
        <v/>
      </c>
      <c r="G78" s="11" t="str">
        <f aca="false">IF(A78="","",'Profile &amp; Targets'!$B$24)</f>
        <v/>
      </c>
      <c r="H78" s="11" t="str">
        <f aca="false">IF(A78="","",'Profile &amp; Targets'!$B$25)</f>
        <v/>
      </c>
      <c r="I78" s="11" t="str">
        <f aca="false">IF(A78="","",'Profile &amp; Targets'!$B$27)</f>
        <v/>
      </c>
      <c r="J78" s="11" t="str">
        <f aca="false">IF(A78="","",'Profile &amp; Targets'!$B$26)</f>
        <v/>
      </c>
      <c r="K78" s="11" t="str">
        <f aca="false">IF(A78="","",B78-G78)</f>
        <v/>
      </c>
      <c r="L78" s="11" t="str">
        <f aca="false">IF(A78="","",C78-H78)</f>
        <v/>
      </c>
      <c r="M78" s="11" t="str">
        <f aca="false">IF(A78="","",D78-I78)</f>
        <v/>
      </c>
      <c r="N78" s="11" t="str">
        <f aca="false">IF(A78="","",E78-J78)</f>
        <v/>
      </c>
    </row>
    <row r="79" customFormat="false" ht="15" hidden="false" customHeight="true" outlineLevel="0" collapsed="false">
      <c r="A79" s="10"/>
      <c r="B79" s="11" t="str">
        <f aca="false">IF(A79="","",SUMIFS('Food Log'!C:C,'Food Log'!A:A,A79))</f>
        <v/>
      </c>
      <c r="C79" s="11" t="str">
        <f aca="false">IF(A79="","",SUMIFS('Food Log'!D:D,'Food Log'!A:A,A79))</f>
        <v/>
      </c>
      <c r="D79" s="11" t="str">
        <f aca="false">IF(A79="","",SUMIFS('Food Log'!E:E,'Food Log'!A:A,A79))</f>
        <v/>
      </c>
      <c r="E79" s="11" t="str">
        <f aca="false">IF(A79="","",SUMIFS('Food Log'!F:F,'Food Log'!A:A,A79))</f>
        <v/>
      </c>
      <c r="F79" s="11" t="str">
        <f aca="false">IF(A79="","",SUMIFS('Food Log'!C:C,'Food Log'!A:A,A79,'Food Log'!G:G,"Yes*"))</f>
        <v/>
      </c>
      <c r="G79" s="11" t="str">
        <f aca="false">IF(A79="","",'Profile &amp; Targets'!$B$24)</f>
        <v/>
      </c>
      <c r="H79" s="11" t="str">
        <f aca="false">IF(A79="","",'Profile &amp; Targets'!$B$25)</f>
        <v/>
      </c>
      <c r="I79" s="11" t="str">
        <f aca="false">IF(A79="","",'Profile &amp; Targets'!$B$27)</f>
        <v/>
      </c>
      <c r="J79" s="11" t="str">
        <f aca="false">IF(A79="","",'Profile &amp; Targets'!$B$26)</f>
        <v/>
      </c>
      <c r="K79" s="11" t="str">
        <f aca="false">IF(A79="","",B79-G79)</f>
        <v/>
      </c>
      <c r="L79" s="11" t="str">
        <f aca="false">IF(A79="","",C79-H79)</f>
        <v/>
      </c>
      <c r="M79" s="11" t="str">
        <f aca="false">IF(A79="","",D79-I79)</f>
        <v/>
      </c>
      <c r="N79" s="11" t="str">
        <f aca="false">IF(A79="","",E79-J79)</f>
        <v/>
      </c>
    </row>
    <row r="80" customFormat="false" ht="15" hidden="false" customHeight="true" outlineLevel="0" collapsed="false">
      <c r="A80" s="10"/>
      <c r="B80" s="11" t="str">
        <f aca="false">IF(A80="","",SUMIFS('Food Log'!C:C,'Food Log'!A:A,A80))</f>
        <v/>
      </c>
      <c r="C80" s="11" t="str">
        <f aca="false">IF(A80="","",SUMIFS('Food Log'!D:D,'Food Log'!A:A,A80))</f>
        <v/>
      </c>
      <c r="D80" s="11" t="str">
        <f aca="false">IF(A80="","",SUMIFS('Food Log'!E:E,'Food Log'!A:A,A80))</f>
        <v/>
      </c>
      <c r="E80" s="11" t="str">
        <f aca="false">IF(A80="","",SUMIFS('Food Log'!F:F,'Food Log'!A:A,A80))</f>
        <v/>
      </c>
      <c r="F80" s="11" t="str">
        <f aca="false">IF(A80="","",SUMIFS('Food Log'!C:C,'Food Log'!A:A,A80,'Food Log'!G:G,"Yes*"))</f>
        <v/>
      </c>
      <c r="G80" s="11" t="str">
        <f aca="false">IF(A80="","",'Profile &amp; Targets'!$B$24)</f>
        <v/>
      </c>
      <c r="H80" s="11" t="str">
        <f aca="false">IF(A80="","",'Profile &amp; Targets'!$B$25)</f>
        <v/>
      </c>
      <c r="I80" s="11" t="str">
        <f aca="false">IF(A80="","",'Profile &amp; Targets'!$B$27)</f>
        <v/>
      </c>
      <c r="J80" s="11" t="str">
        <f aca="false">IF(A80="","",'Profile &amp; Targets'!$B$26)</f>
        <v/>
      </c>
      <c r="K80" s="11" t="str">
        <f aca="false">IF(A80="","",B80-G80)</f>
        <v/>
      </c>
      <c r="L80" s="11" t="str">
        <f aca="false">IF(A80="","",C80-H80)</f>
        <v/>
      </c>
      <c r="M80" s="11" t="str">
        <f aca="false">IF(A80="","",D80-I80)</f>
        <v/>
      </c>
      <c r="N80" s="11" t="str">
        <f aca="false">IF(A80="","",E80-J80)</f>
        <v/>
      </c>
    </row>
    <row r="81" customFormat="false" ht="15" hidden="false" customHeight="true" outlineLevel="0" collapsed="false">
      <c r="A81" s="10"/>
      <c r="B81" s="11" t="str">
        <f aca="false">IF(A81="","",SUMIFS('Food Log'!C:C,'Food Log'!A:A,A81))</f>
        <v/>
      </c>
      <c r="C81" s="11" t="str">
        <f aca="false">IF(A81="","",SUMIFS('Food Log'!D:D,'Food Log'!A:A,A81))</f>
        <v/>
      </c>
      <c r="D81" s="11" t="str">
        <f aca="false">IF(A81="","",SUMIFS('Food Log'!E:E,'Food Log'!A:A,A81))</f>
        <v/>
      </c>
      <c r="E81" s="11" t="str">
        <f aca="false">IF(A81="","",SUMIFS('Food Log'!F:F,'Food Log'!A:A,A81))</f>
        <v/>
      </c>
      <c r="F81" s="11" t="str">
        <f aca="false">IF(A81="","",SUMIFS('Food Log'!C:C,'Food Log'!A:A,A81,'Food Log'!G:G,"Yes*"))</f>
        <v/>
      </c>
      <c r="G81" s="11" t="str">
        <f aca="false">IF(A81="","",'Profile &amp; Targets'!$B$24)</f>
        <v/>
      </c>
      <c r="H81" s="11" t="str">
        <f aca="false">IF(A81="","",'Profile &amp; Targets'!$B$25)</f>
        <v/>
      </c>
      <c r="I81" s="11" t="str">
        <f aca="false">IF(A81="","",'Profile &amp; Targets'!$B$27)</f>
        <v/>
      </c>
      <c r="J81" s="11" t="str">
        <f aca="false">IF(A81="","",'Profile &amp; Targets'!$B$26)</f>
        <v/>
      </c>
      <c r="K81" s="11" t="str">
        <f aca="false">IF(A81="","",B81-G81)</f>
        <v/>
      </c>
      <c r="L81" s="11" t="str">
        <f aca="false">IF(A81="","",C81-H81)</f>
        <v/>
      </c>
      <c r="M81" s="11" t="str">
        <f aca="false">IF(A81="","",D81-I81)</f>
        <v/>
      </c>
      <c r="N81" s="11" t="str">
        <f aca="false">IF(A81="","",E81-J81)</f>
        <v/>
      </c>
    </row>
    <row r="82" customFormat="false" ht="15" hidden="false" customHeight="true" outlineLevel="0" collapsed="false">
      <c r="A82" s="10"/>
      <c r="B82" s="11" t="str">
        <f aca="false">IF(A82="","",SUMIFS('Food Log'!C:C,'Food Log'!A:A,A82))</f>
        <v/>
      </c>
      <c r="C82" s="11" t="str">
        <f aca="false">IF(A82="","",SUMIFS('Food Log'!D:D,'Food Log'!A:A,A82))</f>
        <v/>
      </c>
      <c r="D82" s="11" t="str">
        <f aca="false">IF(A82="","",SUMIFS('Food Log'!E:E,'Food Log'!A:A,A82))</f>
        <v/>
      </c>
      <c r="E82" s="11" t="str">
        <f aca="false">IF(A82="","",SUMIFS('Food Log'!F:F,'Food Log'!A:A,A82))</f>
        <v/>
      </c>
      <c r="F82" s="11" t="str">
        <f aca="false">IF(A82="","",SUMIFS('Food Log'!C:C,'Food Log'!A:A,A82,'Food Log'!G:G,"Yes*"))</f>
        <v/>
      </c>
      <c r="G82" s="11" t="str">
        <f aca="false">IF(A82="","",'Profile &amp; Targets'!$B$24)</f>
        <v/>
      </c>
      <c r="H82" s="11" t="str">
        <f aca="false">IF(A82="","",'Profile &amp; Targets'!$B$25)</f>
        <v/>
      </c>
      <c r="I82" s="11" t="str">
        <f aca="false">IF(A82="","",'Profile &amp; Targets'!$B$27)</f>
        <v/>
      </c>
      <c r="J82" s="11" t="str">
        <f aca="false">IF(A82="","",'Profile &amp; Targets'!$B$26)</f>
        <v/>
      </c>
      <c r="K82" s="11" t="str">
        <f aca="false">IF(A82="","",B82-G82)</f>
        <v/>
      </c>
      <c r="L82" s="11" t="str">
        <f aca="false">IF(A82="","",C82-H82)</f>
        <v/>
      </c>
      <c r="M82" s="11" t="str">
        <f aca="false">IF(A82="","",D82-I82)</f>
        <v/>
      </c>
      <c r="N82" s="11" t="str">
        <f aca="false">IF(A82="","",E82-J82)</f>
        <v/>
      </c>
    </row>
    <row r="83" customFormat="false" ht="15" hidden="false" customHeight="true" outlineLevel="0" collapsed="false">
      <c r="A83" s="10"/>
      <c r="B83" s="11" t="str">
        <f aca="false">IF(A83="","",SUMIFS('Food Log'!C:C,'Food Log'!A:A,A83))</f>
        <v/>
      </c>
      <c r="C83" s="11" t="str">
        <f aca="false">IF(A83="","",SUMIFS('Food Log'!D:D,'Food Log'!A:A,A83))</f>
        <v/>
      </c>
      <c r="D83" s="11" t="str">
        <f aca="false">IF(A83="","",SUMIFS('Food Log'!E:E,'Food Log'!A:A,A83))</f>
        <v/>
      </c>
      <c r="E83" s="11" t="str">
        <f aca="false">IF(A83="","",SUMIFS('Food Log'!F:F,'Food Log'!A:A,A83))</f>
        <v/>
      </c>
      <c r="F83" s="11" t="str">
        <f aca="false">IF(A83="","",SUMIFS('Food Log'!C:C,'Food Log'!A:A,A83,'Food Log'!G:G,"Yes*"))</f>
        <v/>
      </c>
      <c r="G83" s="11" t="str">
        <f aca="false">IF(A83="","",'Profile &amp; Targets'!$B$24)</f>
        <v/>
      </c>
      <c r="H83" s="11" t="str">
        <f aca="false">IF(A83="","",'Profile &amp; Targets'!$B$25)</f>
        <v/>
      </c>
      <c r="I83" s="11" t="str">
        <f aca="false">IF(A83="","",'Profile &amp; Targets'!$B$27)</f>
        <v/>
      </c>
      <c r="J83" s="11" t="str">
        <f aca="false">IF(A83="","",'Profile &amp; Targets'!$B$26)</f>
        <v/>
      </c>
      <c r="K83" s="11" t="str">
        <f aca="false">IF(A83="","",B83-G83)</f>
        <v/>
      </c>
      <c r="L83" s="11" t="str">
        <f aca="false">IF(A83="","",C83-H83)</f>
        <v/>
      </c>
      <c r="M83" s="11" t="str">
        <f aca="false">IF(A83="","",D83-I83)</f>
        <v/>
      </c>
      <c r="N83" s="11" t="str">
        <f aca="false">IF(A83="","",E83-J83)</f>
        <v/>
      </c>
    </row>
    <row r="84" customFormat="false" ht="15" hidden="false" customHeight="true" outlineLevel="0" collapsed="false">
      <c r="A84" s="10"/>
      <c r="B84" s="11" t="str">
        <f aca="false">IF(A84="","",SUMIFS('Food Log'!C:C,'Food Log'!A:A,A84))</f>
        <v/>
      </c>
      <c r="C84" s="11" t="str">
        <f aca="false">IF(A84="","",SUMIFS('Food Log'!D:D,'Food Log'!A:A,A84))</f>
        <v/>
      </c>
      <c r="D84" s="11" t="str">
        <f aca="false">IF(A84="","",SUMIFS('Food Log'!E:E,'Food Log'!A:A,A84))</f>
        <v/>
      </c>
      <c r="E84" s="11" t="str">
        <f aca="false">IF(A84="","",SUMIFS('Food Log'!F:F,'Food Log'!A:A,A84))</f>
        <v/>
      </c>
      <c r="F84" s="11" t="str">
        <f aca="false">IF(A84="","",SUMIFS('Food Log'!C:C,'Food Log'!A:A,A84,'Food Log'!G:G,"Yes*"))</f>
        <v/>
      </c>
      <c r="G84" s="11" t="str">
        <f aca="false">IF(A84="","",'Profile &amp; Targets'!$B$24)</f>
        <v/>
      </c>
      <c r="H84" s="11" t="str">
        <f aca="false">IF(A84="","",'Profile &amp; Targets'!$B$25)</f>
        <v/>
      </c>
      <c r="I84" s="11" t="str">
        <f aca="false">IF(A84="","",'Profile &amp; Targets'!$B$27)</f>
        <v/>
      </c>
      <c r="J84" s="11" t="str">
        <f aca="false">IF(A84="","",'Profile &amp; Targets'!$B$26)</f>
        <v/>
      </c>
      <c r="K84" s="11" t="str">
        <f aca="false">IF(A84="","",B84-G84)</f>
        <v/>
      </c>
      <c r="L84" s="11" t="str">
        <f aca="false">IF(A84="","",C84-H84)</f>
        <v/>
      </c>
      <c r="M84" s="11" t="str">
        <f aca="false">IF(A84="","",D84-I84)</f>
        <v/>
      </c>
      <c r="N84" s="11" t="str">
        <f aca="false">IF(A84="","",E84-J84)</f>
        <v/>
      </c>
    </row>
    <row r="85" customFormat="false" ht="15" hidden="false" customHeight="true" outlineLevel="0" collapsed="false">
      <c r="A85" s="10"/>
      <c r="B85" s="11" t="str">
        <f aca="false">IF(A85="","",SUMIFS('Food Log'!C:C,'Food Log'!A:A,A85))</f>
        <v/>
      </c>
      <c r="C85" s="11" t="str">
        <f aca="false">IF(A85="","",SUMIFS('Food Log'!D:D,'Food Log'!A:A,A85))</f>
        <v/>
      </c>
      <c r="D85" s="11" t="str">
        <f aca="false">IF(A85="","",SUMIFS('Food Log'!E:E,'Food Log'!A:A,A85))</f>
        <v/>
      </c>
      <c r="E85" s="11" t="str">
        <f aca="false">IF(A85="","",SUMIFS('Food Log'!F:F,'Food Log'!A:A,A85))</f>
        <v/>
      </c>
      <c r="F85" s="11" t="str">
        <f aca="false">IF(A85="","",SUMIFS('Food Log'!C:C,'Food Log'!A:A,A85,'Food Log'!G:G,"Yes*"))</f>
        <v/>
      </c>
      <c r="G85" s="11" t="str">
        <f aca="false">IF(A85="","",'Profile &amp; Targets'!$B$24)</f>
        <v/>
      </c>
      <c r="H85" s="11" t="str">
        <f aca="false">IF(A85="","",'Profile &amp; Targets'!$B$25)</f>
        <v/>
      </c>
      <c r="I85" s="11" t="str">
        <f aca="false">IF(A85="","",'Profile &amp; Targets'!$B$27)</f>
        <v/>
      </c>
      <c r="J85" s="11" t="str">
        <f aca="false">IF(A85="","",'Profile &amp; Targets'!$B$26)</f>
        <v/>
      </c>
      <c r="K85" s="11" t="str">
        <f aca="false">IF(A85="","",B85-G85)</f>
        <v/>
      </c>
      <c r="L85" s="11" t="str">
        <f aca="false">IF(A85="","",C85-H85)</f>
        <v/>
      </c>
      <c r="M85" s="11" t="str">
        <f aca="false">IF(A85="","",D85-I85)</f>
        <v/>
      </c>
      <c r="N85" s="11" t="str">
        <f aca="false">IF(A85="","",E85-J85)</f>
        <v/>
      </c>
    </row>
    <row r="86" customFormat="false" ht="15" hidden="false" customHeight="true" outlineLevel="0" collapsed="false">
      <c r="A86" s="10"/>
      <c r="B86" s="11" t="str">
        <f aca="false">IF(A86="","",SUMIFS('Food Log'!C:C,'Food Log'!A:A,A86))</f>
        <v/>
      </c>
      <c r="C86" s="11" t="str">
        <f aca="false">IF(A86="","",SUMIFS('Food Log'!D:D,'Food Log'!A:A,A86))</f>
        <v/>
      </c>
      <c r="D86" s="11" t="str">
        <f aca="false">IF(A86="","",SUMIFS('Food Log'!E:E,'Food Log'!A:A,A86))</f>
        <v/>
      </c>
      <c r="E86" s="11" t="str">
        <f aca="false">IF(A86="","",SUMIFS('Food Log'!F:F,'Food Log'!A:A,A86))</f>
        <v/>
      </c>
      <c r="F86" s="11" t="str">
        <f aca="false">IF(A86="","",SUMIFS('Food Log'!C:C,'Food Log'!A:A,A86,'Food Log'!G:G,"Yes*"))</f>
        <v/>
      </c>
      <c r="G86" s="11" t="str">
        <f aca="false">IF(A86="","",'Profile &amp; Targets'!$B$24)</f>
        <v/>
      </c>
      <c r="H86" s="11" t="str">
        <f aca="false">IF(A86="","",'Profile &amp; Targets'!$B$25)</f>
        <v/>
      </c>
      <c r="I86" s="11" t="str">
        <f aca="false">IF(A86="","",'Profile &amp; Targets'!$B$27)</f>
        <v/>
      </c>
      <c r="J86" s="11" t="str">
        <f aca="false">IF(A86="","",'Profile &amp; Targets'!$B$26)</f>
        <v/>
      </c>
      <c r="K86" s="11" t="str">
        <f aca="false">IF(A86="","",B86-G86)</f>
        <v/>
      </c>
      <c r="L86" s="11" t="str">
        <f aca="false">IF(A86="","",C86-H86)</f>
        <v/>
      </c>
      <c r="M86" s="11" t="str">
        <f aca="false">IF(A86="","",D86-I86)</f>
        <v/>
      </c>
      <c r="N86" s="11" t="str">
        <f aca="false">IF(A86="","",E86-J86)</f>
        <v/>
      </c>
    </row>
    <row r="87" customFormat="false" ht="15" hidden="false" customHeight="true" outlineLevel="0" collapsed="false">
      <c r="A87" s="10"/>
      <c r="B87" s="11" t="str">
        <f aca="false">IF(A87="","",SUMIFS('Food Log'!C:C,'Food Log'!A:A,A87))</f>
        <v/>
      </c>
      <c r="C87" s="11" t="str">
        <f aca="false">IF(A87="","",SUMIFS('Food Log'!D:D,'Food Log'!A:A,A87))</f>
        <v/>
      </c>
      <c r="D87" s="11" t="str">
        <f aca="false">IF(A87="","",SUMIFS('Food Log'!E:E,'Food Log'!A:A,A87))</f>
        <v/>
      </c>
      <c r="E87" s="11" t="str">
        <f aca="false">IF(A87="","",SUMIFS('Food Log'!F:F,'Food Log'!A:A,A87))</f>
        <v/>
      </c>
      <c r="F87" s="11" t="str">
        <f aca="false">IF(A87="","",SUMIFS('Food Log'!C:C,'Food Log'!A:A,A87,'Food Log'!G:G,"Yes*"))</f>
        <v/>
      </c>
      <c r="G87" s="11" t="str">
        <f aca="false">IF(A87="","",'Profile &amp; Targets'!$B$24)</f>
        <v/>
      </c>
      <c r="H87" s="11" t="str">
        <f aca="false">IF(A87="","",'Profile &amp; Targets'!$B$25)</f>
        <v/>
      </c>
      <c r="I87" s="11" t="str">
        <f aca="false">IF(A87="","",'Profile &amp; Targets'!$B$27)</f>
        <v/>
      </c>
      <c r="J87" s="11" t="str">
        <f aca="false">IF(A87="","",'Profile &amp; Targets'!$B$26)</f>
        <v/>
      </c>
      <c r="K87" s="11" t="str">
        <f aca="false">IF(A87="","",B87-G87)</f>
        <v/>
      </c>
      <c r="L87" s="11" t="str">
        <f aca="false">IF(A87="","",C87-H87)</f>
        <v/>
      </c>
      <c r="M87" s="11" t="str">
        <f aca="false">IF(A87="","",D87-I87)</f>
        <v/>
      </c>
      <c r="N87" s="11" t="str">
        <f aca="false">IF(A87="","",E87-J87)</f>
        <v/>
      </c>
    </row>
    <row r="88" customFormat="false" ht="15" hidden="false" customHeight="true" outlineLevel="0" collapsed="false">
      <c r="A88" s="10"/>
      <c r="B88" s="11" t="str">
        <f aca="false">IF(A88="","",SUMIFS('Food Log'!C:C,'Food Log'!A:A,A88))</f>
        <v/>
      </c>
      <c r="C88" s="11" t="str">
        <f aca="false">IF(A88="","",SUMIFS('Food Log'!D:D,'Food Log'!A:A,A88))</f>
        <v/>
      </c>
      <c r="D88" s="11" t="str">
        <f aca="false">IF(A88="","",SUMIFS('Food Log'!E:E,'Food Log'!A:A,A88))</f>
        <v/>
      </c>
      <c r="E88" s="11" t="str">
        <f aca="false">IF(A88="","",SUMIFS('Food Log'!F:F,'Food Log'!A:A,A88))</f>
        <v/>
      </c>
      <c r="F88" s="11" t="str">
        <f aca="false">IF(A88="","",SUMIFS('Food Log'!C:C,'Food Log'!A:A,A88,'Food Log'!G:G,"Yes*"))</f>
        <v/>
      </c>
      <c r="G88" s="11" t="str">
        <f aca="false">IF(A88="","",'Profile &amp; Targets'!$B$24)</f>
        <v/>
      </c>
      <c r="H88" s="11" t="str">
        <f aca="false">IF(A88="","",'Profile &amp; Targets'!$B$25)</f>
        <v/>
      </c>
      <c r="I88" s="11" t="str">
        <f aca="false">IF(A88="","",'Profile &amp; Targets'!$B$27)</f>
        <v/>
      </c>
      <c r="J88" s="11" t="str">
        <f aca="false">IF(A88="","",'Profile &amp; Targets'!$B$26)</f>
        <v/>
      </c>
      <c r="K88" s="11" t="str">
        <f aca="false">IF(A88="","",B88-G88)</f>
        <v/>
      </c>
      <c r="L88" s="11" t="str">
        <f aca="false">IF(A88="","",C88-H88)</f>
        <v/>
      </c>
      <c r="M88" s="11" t="str">
        <f aca="false">IF(A88="","",D88-I88)</f>
        <v/>
      </c>
      <c r="N88" s="11" t="str">
        <f aca="false">IF(A88="","",E88-J88)</f>
        <v/>
      </c>
    </row>
    <row r="89" customFormat="false" ht="15" hidden="false" customHeight="true" outlineLevel="0" collapsed="false">
      <c r="A89" s="10"/>
      <c r="B89" s="11" t="str">
        <f aca="false">IF(A89="","",SUMIFS('Food Log'!C:C,'Food Log'!A:A,A89))</f>
        <v/>
      </c>
      <c r="C89" s="11" t="str">
        <f aca="false">IF(A89="","",SUMIFS('Food Log'!D:D,'Food Log'!A:A,A89))</f>
        <v/>
      </c>
      <c r="D89" s="11" t="str">
        <f aca="false">IF(A89="","",SUMIFS('Food Log'!E:E,'Food Log'!A:A,A89))</f>
        <v/>
      </c>
      <c r="E89" s="11" t="str">
        <f aca="false">IF(A89="","",SUMIFS('Food Log'!F:F,'Food Log'!A:A,A89))</f>
        <v/>
      </c>
      <c r="F89" s="11" t="str">
        <f aca="false">IF(A89="","",SUMIFS('Food Log'!C:C,'Food Log'!A:A,A89,'Food Log'!G:G,"Yes*"))</f>
        <v/>
      </c>
      <c r="G89" s="11" t="str">
        <f aca="false">IF(A89="","",'Profile &amp; Targets'!$B$24)</f>
        <v/>
      </c>
      <c r="H89" s="11" t="str">
        <f aca="false">IF(A89="","",'Profile &amp; Targets'!$B$25)</f>
        <v/>
      </c>
      <c r="I89" s="11" t="str">
        <f aca="false">IF(A89="","",'Profile &amp; Targets'!$B$27)</f>
        <v/>
      </c>
      <c r="J89" s="11" t="str">
        <f aca="false">IF(A89="","",'Profile &amp; Targets'!$B$26)</f>
        <v/>
      </c>
      <c r="K89" s="11" t="str">
        <f aca="false">IF(A89="","",B89-G89)</f>
        <v/>
      </c>
      <c r="L89" s="11" t="str">
        <f aca="false">IF(A89="","",C89-H89)</f>
        <v/>
      </c>
      <c r="M89" s="11" t="str">
        <f aca="false">IF(A89="","",D89-I89)</f>
        <v/>
      </c>
      <c r="N89" s="11" t="str">
        <f aca="false">IF(A89="","",E89-J89)</f>
        <v/>
      </c>
    </row>
    <row r="90" customFormat="false" ht="15" hidden="false" customHeight="true" outlineLevel="0" collapsed="false">
      <c r="A90" s="10"/>
      <c r="B90" s="11" t="str">
        <f aca="false">IF(A90="","",SUMIFS('Food Log'!C:C,'Food Log'!A:A,A90))</f>
        <v/>
      </c>
      <c r="C90" s="11" t="str">
        <f aca="false">IF(A90="","",SUMIFS('Food Log'!D:D,'Food Log'!A:A,A90))</f>
        <v/>
      </c>
      <c r="D90" s="11" t="str">
        <f aca="false">IF(A90="","",SUMIFS('Food Log'!E:E,'Food Log'!A:A,A90))</f>
        <v/>
      </c>
      <c r="E90" s="11" t="str">
        <f aca="false">IF(A90="","",SUMIFS('Food Log'!F:F,'Food Log'!A:A,A90))</f>
        <v/>
      </c>
      <c r="F90" s="11" t="str">
        <f aca="false">IF(A90="","",SUMIFS('Food Log'!C:C,'Food Log'!A:A,A90,'Food Log'!G:G,"Yes*"))</f>
        <v/>
      </c>
      <c r="G90" s="11" t="str">
        <f aca="false">IF(A90="","",'Profile &amp; Targets'!$B$24)</f>
        <v/>
      </c>
      <c r="H90" s="11" t="str">
        <f aca="false">IF(A90="","",'Profile &amp; Targets'!$B$25)</f>
        <v/>
      </c>
      <c r="I90" s="11" t="str">
        <f aca="false">IF(A90="","",'Profile &amp; Targets'!$B$27)</f>
        <v/>
      </c>
      <c r="J90" s="11" t="str">
        <f aca="false">IF(A90="","",'Profile &amp; Targets'!$B$26)</f>
        <v/>
      </c>
      <c r="K90" s="11" t="str">
        <f aca="false">IF(A90="","",B90-G90)</f>
        <v/>
      </c>
      <c r="L90" s="11" t="str">
        <f aca="false">IF(A90="","",C90-H90)</f>
        <v/>
      </c>
      <c r="M90" s="11" t="str">
        <f aca="false">IF(A90="","",D90-I90)</f>
        <v/>
      </c>
      <c r="N90" s="11" t="str">
        <f aca="false">IF(A90="","",E90-J90)</f>
        <v/>
      </c>
    </row>
    <row r="91" customFormat="false" ht="15" hidden="false" customHeight="true" outlineLevel="0" collapsed="false">
      <c r="A91" s="10"/>
      <c r="B91" s="11" t="str">
        <f aca="false">IF(A91="","",SUMIFS('Food Log'!C:C,'Food Log'!A:A,A91))</f>
        <v/>
      </c>
      <c r="C91" s="11" t="str">
        <f aca="false">IF(A91="","",SUMIFS('Food Log'!D:D,'Food Log'!A:A,A91))</f>
        <v/>
      </c>
      <c r="D91" s="11" t="str">
        <f aca="false">IF(A91="","",SUMIFS('Food Log'!E:E,'Food Log'!A:A,A91))</f>
        <v/>
      </c>
      <c r="E91" s="11" t="str">
        <f aca="false">IF(A91="","",SUMIFS('Food Log'!F:F,'Food Log'!A:A,A91))</f>
        <v/>
      </c>
      <c r="F91" s="11" t="str">
        <f aca="false">IF(A91="","",SUMIFS('Food Log'!C:C,'Food Log'!A:A,A91,'Food Log'!G:G,"Yes*"))</f>
        <v/>
      </c>
      <c r="G91" s="11" t="str">
        <f aca="false">IF(A91="","",'Profile &amp; Targets'!$B$24)</f>
        <v/>
      </c>
      <c r="H91" s="11" t="str">
        <f aca="false">IF(A91="","",'Profile &amp; Targets'!$B$25)</f>
        <v/>
      </c>
      <c r="I91" s="11" t="str">
        <f aca="false">IF(A91="","",'Profile &amp; Targets'!$B$27)</f>
        <v/>
      </c>
      <c r="J91" s="11" t="str">
        <f aca="false">IF(A91="","",'Profile &amp; Targets'!$B$26)</f>
        <v/>
      </c>
      <c r="K91" s="11" t="str">
        <f aca="false">IF(A91="","",B91-G91)</f>
        <v/>
      </c>
      <c r="L91" s="11" t="str">
        <f aca="false">IF(A91="","",C91-H91)</f>
        <v/>
      </c>
      <c r="M91" s="11" t="str">
        <f aca="false">IF(A91="","",D91-I91)</f>
        <v/>
      </c>
      <c r="N91" s="11" t="str">
        <f aca="false">IF(A91="","",E91-J91)</f>
        <v/>
      </c>
    </row>
    <row r="92" customFormat="false" ht="15" hidden="false" customHeight="true" outlineLevel="0" collapsed="false">
      <c r="A92" s="10"/>
      <c r="B92" s="11" t="str">
        <f aca="false">IF(A92="","",SUMIFS('Food Log'!C:C,'Food Log'!A:A,A92))</f>
        <v/>
      </c>
      <c r="C92" s="11" t="str">
        <f aca="false">IF(A92="","",SUMIFS('Food Log'!D:D,'Food Log'!A:A,A92))</f>
        <v/>
      </c>
      <c r="D92" s="11" t="str">
        <f aca="false">IF(A92="","",SUMIFS('Food Log'!E:E,'Food Log'!A:A,A92))</f>
        <v/>
      </c>
      <c r="E92" s="11" t="str">
        <f aca="false">IF(A92="","",SUMIFS('Food Log'!F:F,'Food Log'!A:A,A92))</f>
        <v/>
      </c>
      <c r="F92" s="11" t="str">
        <f aca="false">IF(A92="","",SUMIFS('Food Log'!C:C,'Food Log'!A:A,A92,'Food Log'!G:G,"Yes*"))</f>
        <v/>
      </c>
      <c r="G92" s="11" t="str">
        <f aca="false">IF(A92="","",'Profile &amp; Targets'!$B$24)</f>
        <v/>
      </c>
      <c r="H92" s="11" t="str">
        <f aca="false">IF(A92="","",'Profile &amp; Targets'!$B$25)</f>
        <v/>
      </c>
      <c r="I92" s="11" t="str">
        <f aca="false">IF(A92="","",'Profile &amp; Targets'!$B$27)</f>
        <v/>
      </c>
      <c r="J92" s="11" t="str">
        <f aca="false">IF(A92="","",'Profile &amp; Targets'!$B$26)</f>
        <v/>
      </c>
      <c r="K92" s="11" t="str">
        <f aca="false">IF(A92="","",B92-G92)</f>
        <v/>
      </c>
      <c r="L92" s="11" t="str">
        <f aca="false">IF(A92="","",C92-H92)</f>
        <v/>
      </c>
      <c r="M92" s="11" t="str">
        <f aca="false">IF(A92="","",D92-I92)</f>
        <v/>
      </c>
      <c r="N92" s="11" t="str">
        <f aca="false">IF(A92="","",E92-J92)</f>
        <v/>
      </c>
    </row>
    <row r="93" customFormat="false" ht="15" hidden="false" customHeight="true" outlineLevel="0" collapsed="false">
      <c r="A93" s="10"/>
      <c r="B93" s="11" t="str">
        <f aca="false">IF(A93="","",SUMIFS('Food Log'!C:C,'Food Log'!A:A,A93))</f>
        <v/>
      </c>
      <c r="C93" s="11" t="str">
        <f aca="false">IF(A93="","",SUMIFS('Food Log'!D:D,'Food Log'!A:A,A93))</f>
        <v/>
      </c>
      <c r="D93" s="11" t="str">
        <f aca="false">IF(A93="","",SUMIFS('Food Log'!E:E,'Food Log'!A:A,A93))</f>
        <v/>
      </c>
      <c r="E93" s="11" t="str">
        <f aca="false">IF(A93="","",SUMIFS('Food Log'!F:F,'Food Log'!A:A,A93))</f>
        <v/>
      </c>
      <c r="F93" s="11" t="str">
        <f aca="false">IF(A93="","",SUMIFS('Food Log'!C:C,'Food Log'!A:A,A93,'Food Log'!G:G,"Yes*"))</f>
        <v/>
      </c>
      <c r="G93" s="11" t="str">
        <f aca="false">IF(A93="","",'Profile &amp; Targets'!$B$24)</f>
        <v/>
      </c>
      <c r="H93" s="11" t="str">
        <f aca="false">IF(A93="","",'Profile &amp; Targets'!$B$25)</f>
        <v/>
      </c>
      <c r="I93" s="11" t="str">
        <f aca="false">IF(A93="","",'Profile &amp; Targets'!$B$27)</f>
        <v/>
      </c>
      <c r="J93" s="11" t="str">
        <f aca="false">IF(A93="","",'Profile &amp; Targets'!$B$26)</f>
        <v/>
      </c>
      <c r="K93" s="11" t="str">
        <f aca="false">IF(A93="","",B93-G93)</f>
        <v/>
      </c>
      <c r="L93" s="11" t="str">
        <f aca="false">IF(A93="","",C93-H93)</f>
        <v/>
      </c>
      <c r="M93" s="11" t="str">
        <f aca="false">IF(A93="","",D93-I93)</f>
        <v/>
      </c>
      <c r="N93" s="11" t="str">
        <f aca="false">IF(A93="","",E93-J93)</f>
        <v/>
      </c>
    </row>
    <row r="94" customFormat="false" ht="15" hidden="false" customHeight="true" outlineLevel="0" collapsed="false">
      <c r="A94" s="10"/>
      <c r="B94" s="11" t="str">
        <f aca="false">IF(A94="","",SUMIFS('Food Log'!C:C,'Food Log'!A:A,A94))</f>
        <v/>
      </c>
      <c r="C94" s="11" t="str">
        <f aca="false">IF(A94="","",SUMIFS('Food Log'!D:D,'Food Log'!A:A,A94))</f>
        <v/>
      </c>
      <c r="D94" s="11" t="str">
        <f aca="false">IF(A94="","",SUMIFS('Food Log'!E:E,'Food Log'!A:A,A94))</f>
        <v/>
      </c>
      <c r="E94" s="11" t="str">
        <f aca="false">IF(A94="","",SUMIFS('Food Log'!F:F,'Food Log'!A:A,A94))</f>
        <v/>
      </c>
      <c r="F94" s="11" t="str">
        <f aca="false">IF(A94="","",SUMIFS('Food Log'!C:C,'Food Log'!A:A,A94,'Food Log'!G:G,"Yes*"))</f>
        <v/>
      </c>
      <c r="G94" s="11" t="str">
        <f aca="false">IF(A94="","",'Profile &amp; Targets'!$B$24)</f>
        <v/>
      </c>
      <c r="H94" s="11" t="str">
        <f aca="false">IF(A94="","",'Profile &amp; Targets'!$B$25)</f>
        <v/>
      </c>
      <c r="I94" s="11" t="str">
        <f aca="false">IF(A94="","",'Profile &amp; Targets'!$B$27)</f>
        <v/>
      </c>
      <c r="J94" s="11" t="str">
        <f aca="false">IF(A94="","",'Profile &amp; Targets'!$B$26)</f>
        <v/>
      </c>
      <c r="K94" s="11" t="str">
        <f aca="false">IF(A94="","",B94-G94)</f>
        <v/>
      </c>
      <c r="L94" s="11" t="str">
        <f aca="false">IF(A94="","",C94-H94)</f>
        <v/>
      </c>
      <c r="M94" s="11" t="str">
        <f aca="false">IF(A94="","",D94-I94)</f>
        <v/>
      </c>
      <c r="N94" s="11" t="str">
        <f aca="false">IF(A94="","",E94-J94)</f>
        <v/>
      </c>
    </row>
    <row r="95" customFormat="false" ht="15" hidden="false" customHeight="true" outlineLevel="0" collapsed="false">
      <c r="A95" s="10"/>
      <c r="B95" s="11" t="str">
        <f aca="false">IF(A95="","",SUMIFS('Food Log'!C:C,'Food Log'!A:A,A95))</f>
        <v/>
      </c>
      <c r="C95" s="11" t="str">
        <f aca="false">IF(A95="","",SUMIFS('Food Log'!D:D,'Food Log'!A:A,A95))</f>
        <v/>
      </c>
      <c r="D95" s="11" t="str">
        <f aca="false">IF(A95="","",SUMIFS('Food Log'!E:E,'Food Log'!A:A,A95))</f>
        <v/>
      </c>
      <c r="E95" s="11" t="str">
        <f aca="false">IF(A95="","",SUMIFS('Food Log'!F:F,'Food Log'!A:A,A95))</f>
        <v/>
      </c>
      <c r="F95" s="11" t="str">
        <f aca="false">IF(A95="","",SUMIFS('Food Log'!C:C,'Food Log'!A:A,A95,'Food Log'!G:G,"Yes*"))</f>
        <v/>
      </c>
      <c r="G95" s="11" t="str">
        <f aca="false">IF(A95="","",'Profile &amp; Targets'!$B$24)</f>
        <v/>
      </c>
      <c r="H95" s="11" t="str">
        <f aca="false">IF(A95="","",'Profile &amp; Targets'!$B$25)</f>
        <v/>
      </c>
      <c r="I95" s="11" t="str">
        <f aca="false">IF(A95="","",'Profile &amp; Targets'!$B$27)</f>
        <v/>
      </c>
      <c r="J95" s="11" t="str">
        <f aca="false">IF(A95="","",'Profile &amp; Targets'!$B$26)</f>
        <v/>
      </c>
      <c r="K95" s="11" t="str">
        <f aca="false">IF(A95="","",B95-G95)</f>
        <v/>
      </c>
      <c r="L95" s="11" t="str">
        <f aca="false">IF(A95="","",C95-H95)</f>
        <v/>
      </c>
      <c r="M95" s="11" t="str">
        <f aca="false">IF(A95="","",D95-I95)</f>
        <v/>
      </c>
      <c r="N95" s="11" t="str">
        <f aca="false">IF(A95="","",E95-J95)</f>
        <v/>
      </c>
    </row>
    <row r="96" customFormat="false" ht="15" hidden="false" customHeight="true" outlineLevel="0" collapsed="false">
      <c r="A96" s="10"/>
      <c r="B96" s="11" t="str">
        <f aca="false">IF(A96="","",SUMIFS('Food Log'!C:C,'Food Log'!A:A,A96))</f>
        <v/>
      </c>
      <c r="C96" s="11" t="str">
        <f aca="false">IF(A96="","",SUMIFS('Food Log'!D:D,'Food Log'!A:A,A96))</f>
        <v/>
      </c>
      <c r="D96" s="11" t="str">
        <f aca="false">IF(A96="","",SUMIFS('Food Log'!E:E,'Food Log'!A:A,A96))</f>
        <v/>
      </c>
      <c r="E96" s="11" t="str">
        <f aca="false">IF(A96="","",SUMIFS('Food Log'!F:F,'Food Log'!A:A,A96))</f>
        <v/>
      </c>
      <c r="F96" s="11" t="str">
        <f aca="false">IF(A96="","",SUMIFS('Food Log'!C:C,'Food Log'!A:A,A96,'Food Log'!G:G,"Yes*"))</f>
        <v/>
      </c>
      <c r="G96" s="11" t="str">
        <f aca="false">IF(A96="","",'Profile &amp; Targets'!$B$24)</f>
        <v/>
      </c>
      <c r="H96" s="11" t="str">
        <f aca="false">IF(A96="","",'Profile &amp; Targets'!$B$25)</f>
        <v/>
      </c>
      <c r="I96" s="11" t="str">
        <f aca="false">IF(A96="","",'Profile &amp; Targets'!$B$27)</f>
        <v/>
      </c>
      <c r="J96" s="11" t="str">
        <f aca="false">IF(A96="","",'Profile &amp; Targets'!$B$26)</f>
        <v/>
      </c>
      <c r="K96" s="11" t="str">
        <f aca="false">IF(A96="","",B96-G96)</f>
        <v/>
      </c>
      <c r="L96" s="11" t="str">
        <f aca="false">IF(A96="","",C96-H96)</f>
        <v/>
      </c>
      <c r="M96" s="11" t="str">
        <f aca="false">IF(A96="","",D96-I96)</f>
        <v/>
      </c>
      <c r="N96" s="11" t="str">
        <f aca="false">IF(A96="","",E96-J96)</f>
        <v/>
      </c>
    </row>
    <row r="97" customFormat="false" ht="15" hidden="false" customHeight="true" outlineLevel="0" collapsed="false">
      <c r="A97" s="10"/>
      <c r="B97" s="11" t="str">
        <f aca="false">IF(A97="","",SUMIFS('Food Log'!C:C,'Food Log'!A:A,A97))</f>
        <v/>
      </c>
      <c r="C97" s="11" t="str">
        <f aca="false">IF(A97="","",SUMIFS('Food Log'!D:D,'Food Log'!A:A,A97))</f>
        <v/>
      </c>
      <c r="D97" s="11" t="str">
        <f aca="false">IF(A97="","",SUMIFS('Food Log'!E:E,'Food Log'!A:A,A97))</f>
        <v/>
      </c>
      <c r="E97" s="11" t="str">
        <f aca="false">IF(A97="","",SUMIFS('Food Log'!F:F,'Food Log'!A:A,A97))</f>
        <v/>
      </c>
      <c r="F97" s="11" t="str">
        <f aca="false">IF(A97="","",SUMIFS('Food Log'!C:C,'Food Log'!A:A,A97,'Food Log'!G:G,"Yes*"))</f>
        <v/>
      </c>
      <c r="G97" s="11" t="str">
        <f aca="false">IF(A97="","",'Profile &amp; Targets'!$B$24)</f>
        <v/>
      </c>
      <c r="H97" s="11" t="str">
        <f aca="false">IF(A97="","",'Profile &amp; Targets'!$B$25)</f>
        <v/>
      </c>
      <c r="I97" s="11" t="str">
        <f aca="false">IF(A97="","",'Profile &amp; Targets'!$B$27)</f>
        <v/>
      </c>
      <c r="J97" s="11" t="str">
        <f aca="false">IF(A97="","",'Profile &amp; Targets'!$B$26)</f>
        <v/>
      </c>
      <c r="K97" s="11" t="str">
        <f aca="false">IF(A97="","",B97-G97)</f>
        <v/>
      </c>
      <c r="L97" s="11" t="str">
        <f aca="false">IF(A97="","",C97-H97)</f>
        <v/>
      </c>
      <c r="M97" s="11" t="str">
        <f aca="false">IF(A97="","",D97-I97)</f>
        <v/>
      </c>
      <c r="N97" s="11" t="str">
        <f aca="false">IF(A97="","",E97-J97)</f>
        <v/>
      </c>
    </row>
    <row r="98" customFormat="false" ht="15" hidden="false" customHeight="true" outlineLevel="0" collapsed="false">
      <c r="A98" s="10"/>
      <c r="B98" s="11" t="str">
        <f aca="false">IF(A98="","",SUMIFS('Food Log'!C:C,'Food Log'!A:A,A98))</f>
        <v/>
      </c>
      <c r="C98" s="11" t="str">
        <f aca="false">IF(A98="","",SUMIFS('Food Log'!D:D,'Food Log'!A:A,A98))</f>
        <v/>
      </c>
      <c r="D98" s="11" t="str">
        <f aca="false">IF(A98="","",SUMIFS('Food Log'!E:E,'Food Log'!A:A,A98))</f>
        <v/>
      </c>
      <c r="E98" s="11" t="str">
        <f aca="false">IF(A98="","",SUMIFS('Food Log'!F:F,'Food Log'!A:A,A98))</f>
        <v/>
      </c>
      <c r="F98" s="11" t="str">
        <f aca="false">IF(A98="","",SUMIFS('Food Log'!C:C,'Food Log'!A:A,A98,'Food Log'!G:G,"Yes*"))</f>
        <v/>
      </c>
      <c r="G98" s="11" t="str">
        <f aca="false">IF(A98="","",'Profile &amp; Targets'!$B$24)</f>
        <v/>
      </c>
      <c r="H98" s="11" t="str">
        <f aca="false">IF(A98="","",'Profile &amp; Targets'!$B$25)</f>
        <v/>
      </c>
      <c r="I98" s="11" t="str">
        <f aca="false">IF(A98="","",'Profile &amp; Targets'!$B$27)</f>
        <v/>
      </c>
      <c r="J98" s="11" t="str">
        <f aca="false">IF(A98="","",'Profile &amp; Targets'!$B$26)</f>
        <v/>
      </c>
      <c r="K98" s="11" t="str">
        <f aca="false">IF(A98="","",B98-G98)</f>
        <v/>
      </c>
      <c r="L98" s="11" t="str">
        <f aca="false">IF(A98="","",C98-H98)</f>
        <v/>
      </c>
      <c r="M98" s="11" t="str">
        <f aca="false">IF(A98="","",D98-I98)</f>
        <v/>
      </c>
      <c r="N98" s="11" t="str">
        <f aca="false">IF(A98="","",E98-J98)</f>
        <v/>
      </c>
    </row>
    <row r="99" customFormat="false" ht="15" hidden="false" customHeight="true" outlineLevel="0" collapsed="false">
      <c r="A99" s="10"/>
      <c r="B99" s="11" t="str">
        <f aca="false">IF(A99="","",SUMIFS('Food Log'!C:C,'Food Log'!A:A,A99))</f>
        <v/>
      </c>
      <c r="C99" s="11" t="str">
        <f aca="false">IF(A99="","",SUMIFS('Food Log'!D:D,'Food Log'!A:A,A99))</f>
        <v/>
      </c>
      <c r="D99" s="11" t="str">
        <f aca="false">IF(A99="","",SUMIFS('Food Log'!E:E,'Food Log'!A:A,A99))</f>
        <v/>
      </c>
      <c r="E99" s="11" t="str">
        <f aca="false">IF(A99="","",SUMIFS('Food Log'!F:F,'Food Log'!A:A,A99))</f>
        <v/>
      </c>
      <c r="F99" s="11" t="str">
        <f aca="false">IF(A99="","",SUMIFS('Food Log'!C:C,'Food Log'!A:A,A99,'Food Log'!G:G,"Yes*"))</f>
        <v/>
      </c>
      <c r="G99" s="11" t="str">
        <f aca="false">IF(A99="","",'Profile &amp; Targets'!$B$24)</f>
        <v/>
      </c>
      <c r="H99" s="11" t="str">
        <f aca="false">IF(A99="","",'Profile &amp; Targets'!$B$25)</f>
        <v/>
      </c>
      <c r="I99" s="11" t="str">
        <f aca="false">IF(A99="","",'Profile &amp; Targets'!$B$27)</f>
        <v/>
      </c>
      <c r="J99" s="11" t="str">
        <f aca="false">IF(A99="","",'Profile &amp; Targets'!$B$26)</f>
        <v/>
      </c>
      <c r="K99" s="11" t="str">
        <f aca="false">IF(A99="","",B99-G99)</f>
        <v/>
      </c>
      <c r="L99" s="11" t="str">
        <f aca="false">IF(A99="","",C99-H99)</f>
        <v/>
      </c>
      <c r="M99" s="11" t="str">
        <f aca="false">IF(A99="","",D99-I99)</f>
        <v/>
      </c>
      <c r="N99" s="11" t="str">
        <f aca="false">IF(A99="","",E99-J99)</f>
        <v/>
      </c>
    </row>
    <row r="100" customFormat="false" ht="15" hidden="false" customHeight="true" outlineLevel="0" collapsed="false">
      <c r="A100" s="10"/>
      <c r="B100" s="11" t="str">
        <f aca="false">IF(A100="","",SUMIFS('Food Log'!C:C,'Food Log'!A:A,A100))</f>
        <v/>
      </c>
      <c r="C100" s="11" t="str">
        <f aca="false">IF(A100="","",SUMIFS('Food Log'!D:D,'Food Log'!A:A,A100))</f>
        <v/>
      </c>
      <c r="D100" s="11" t="str">
        <f aca="false">IF(A100="","",SUMIFS('Food Log'!E:E,'Food Log'!A:A,A100))</f>
        <v/>
      </c>
      <c r="E100" s="11" t="str">
        <f aca="false">IF(A100="","",SUMIFS('Food Log'!F:F,'Food Log'!A:A,A100))</f>
        <v/>
      </c>
      <c r="F100" s="11" t="str">
        <f aca="false">IF(A100="","",SUMIFS('Food Log'!C:C,'Food Log'!A:A,A100,'Food Log'!G:G,"Yes*"))</f>
        <v/>
      </c>
      <c r="G100" s="11" t="str">
        <f aca="false">IF(A100="","",'Profile &amp; Targets'!$B$24)</f>
        <v/>
      </c>
      <c r="H100" s="11" t="str">
        <f aca="false">IF(A100="","",'Profile &amp; Targets'!$B$25)</f>
        <v/>
      </c>
      <c r="I100" s="11" t="str">
        <f aca="false">IF(A100="","",'Profile &amp; Targets'!$B$27)</f>
        <v/>
      </c>
      <c r="J100" s="11" t="str">
        <f aca="false">IF(A100="","",'Profile &amp; Targets'!$B$26)</f>
        <v/>
      </c>
      <c r="K100" s="11" t="str">
        <f aca="false">IF(A100="","",B100-G100)</f>
        <v/>
      </c>
      <c r="L100" s="11" t="str">
        <f aca="false">IF(A100="","",C100-H100)</f>
        <v/>
      </c>
      <c r="M100" s="11" t="str">
        <f aca="false">IF(A100="","",D100-I100)</f>
        <v/>
      </c>
      <c r="N100" s="11" t="str">
        <f aca="false">IF(A100="","",E100-J100)</f>
        <v/>
      </c>
    </row>
    <row r="101" customFormat="false" ht="15" hidden="false" customHeight="true" outlineLevel="0" collapsed="false">
      <c r="A101" s="10"/>
      <c r="B101" s="11" t="str">
        <f aca="false">IF(A101="","",SUMIFS('Food Log'!C:C,'Food Log'!A:A,A101))</f>
        <v/>
      </c>
      <c r="C101" s="11" t="str">
        <f aca="false">IF(A101="","",SUMIFS('Food Log'!D:D,'Food Log'!A:A,A101))</f>
        <v/>
      </c>
      <c r="D101" s="11" t="str">
        <f aca="false">IF(A101="","",SUMIFS('Food Log'!E:E,'Food Log'!A:A,A101))</f>
        <v/>
      </c>
      <c r="E101" s="11" t="str">
        <f aca="false">IF(A101="","",SUMIFS('Food Log'!F:F,'Food Log'!A:A,A101))</f>
        <v/>
      </c>
      <c r="F101" s="11" t="str">
        <f aca="false">IF(A101="","",SUMIFS('Food Log'!C:C,'Food Log'!A:A,A101,'Food Log'!G:G,"Yes*"))</f>
        <v/>
      </c>
      <c r="G101" s="11" t="str">
        <f aca="false">IF(A101="","",'Profile &amp; Targets'!$B$24)</f>
        <v/>
      </c>
      <c r="H101" s="11" t="str">
        <f aca="false">IF(A101="","",'Profile &amp; Targets'!$B$25)</f>
        <v/>
      </c>
      <c r="I101" s="11" t="str">
        <f aca="false">IF(A101="","",'Profile &amp; Targets'!$B$27)</f>
        <v/>
      </c>
      <c r="J101" s="11" t="str">
        <f aca="false">IF(A101="","",'Profile &amp; Targets'!$B$26)</f>
        <v/>
      </c>
      <c r="K101" s="11" t="str">
        <f aca="false">IF(A101="","",B101-G101)</f>
        <v/>
      </c>
      <c r="L101" s="11" t="str">
        <f aca="false">IF(A101="","",C101-H101)</f>
        <v/>
      </c>
      <c r="M101" s="11" t="str">
        <f aca="false">IF(A101="","",D101-I101)</f>
        <v/>
      </c>
      <c r="N101" s="11" t="str">
        <f aca="false">IF(A101="","",E101-J101)</f>
        <v/>
      </c>
    </row>
    <row r="102" customFormat="false" ht="15" hidden="false" customHeight="true" outlineLevel="0" collapsed="false">
      <c r="A102" s="10"/>
      <c r="B102" s="11" t="str">
        <f aca="false">IF(A102="","",SUMIFS('Food Log'!C:C,'Food Log'!A:A,A102))</f>
        <v/>
      </c>
      <c r="C102" s="11" t="str">
        <f aca="false">IF(A102="","",SUMIFS('Food Log'!D:D,'Food Log'!A:A,A102))</f>
        <v/>
      </c>
      <c r="D102" s="11" t="str">
        <f aca="false">IF(A102="","",SUMIFS('Food Log'!E:E,'Food Log'!A:A,A102))</f>
        <v/>
      </c>
      <c r="E102" s="11" t="str">
        <f aca="false">IF(A102="","",SUMIFS('Food Log'!F:F,'Food Log'!A:A,A102))</f>
        <v/>
      </c>
      <c r="F102" s="11" t="str">
        <f aca="false">IF(A102="","",SUMIFS('Food Log'!C:C,'Food Log'!A:A,A102,'Food Log'!G:G,"Yes*"))</f>
        <v/>
      </c>
      <c r="G102" s="11" t="str">
        <f aca="false">IF(A102="","",'Profile &amp; Targets'!$B$24)</f>
        <v/>
      </c>
      <c r="H102" s="11" t="str">
        <f aca="false">IF(A102="","",'Profile &amp; Targets'!$B$25)</f>
        <v/>
      </c>
      <c r="I102" s="11" t="str">
        <f aca="false">IF(A102="","",'Profile &amp; Targets'!$B$27)</f>
        <v/>
      </c>
      <c r="J102" s="11" t="str">
        <f aca="false">IF(A102="","",'Profile &amp; Targets'!$B$26)</f>
        <v/>
      </c>
      <c r="K102" s="11" t="str">
        <f aca="false">IF(A102="","",B102-G102)</f>
        <v/>
      </c>
      <c r="L102" s="11" t="str">
        <f aca="false">IF(A102="","",C102-H102)</f>
        <v/>
      </c>
      <c r="M102" s="11" t="str">
        <f aca="false">IF(A102="","",D102-I102)</f>
        <v/>
      </c>
      <c r="N102" s="11" t="str">
        <f aca="false">IF(A102="","",E102-J102)</f>
        <v/>
      </c>
    </row>
    <row r="103" customFormat="false" ht="15" hidden="false" customHeight="true" outlineLevel="0" collapsed="false">
      <c r="A103" s="10"/>
      <c r="B103" s="11" t="str">
        <f aca="false">IF(A103="","",SUMIFS('Food Log'!C:C,'Food Log'!A:A,A103))</f>
        <v/>
      </c>
      <c r="C103" s="11" t="str">
        <f aca="false">IF(A103="","",SUMIFS('Food Log'!D:D,'Food Log'!A:A,A103))</f>
        <v/>
      </c>
      <c r="D103" s="11" t="str">
        <f aca="false">IF(A103="","",SUMIFS('Food Log'!E:E,'Food Log'!A:A,A103))</f>
        <v/>
      </c>
      <c r="E103" s="11" t="str">
        <f aca="false">IF(A103="","",SUMIFS('Food Log'!F:F,'Food Log'!A:A,A103))</f>
        <v/>
      </c>
      <c r="F103" s="11" t="str">
        <f aca="false">IF(A103="","",SUMIFS('Food Log'!C:C,'Food Log'!A:A,A103,'Food Log'!G:G,"Yes*"))</f>
        <v/>
      </c>
      <c r="G103" s="11" t="str">
        <f aca="false">IF(A103="","",'Profile &amp; Targets'!$B$24)</f>
        <v/>
      </c>
      <c r="H103" s="11" t="str">
        <f aca="false">IF(A103="","",'Profile &amp; Targets'!$B$25)</f>
        <v/>
      </c>
      <c r="I103" s="11" t="str">
        <f aca="false">IF(A103="","",'Profile &amp; Targets'!$B$27)</f>
        <v/>
      </c>
      <c r="J103" s="11" t="str">
        <f aca="false">IF(A103="","",'Profile &amp; Targets'!$B$26)</f>
        <v/>
      </c>
      <c r="K103" s="11" t="str">
        <f aca="false">IF(A103="","",B103-G103)</f>
        <v/>
      </c>
      <c r="L103" s="11" t="str">
        <f aca="false">IF(A103="","",C103-H103)</f>
        <v/>
      </c>
      <c r="M103" s="11" t="str">
        <f aca="false">IF(A103="","",D103-I103)</f>
        <v/>
      </c>
      <c r="N103" s="11" t="str">
        <f aca="false">IF(A103="","",E103-J103)</f>
        <v/>
      </c>
    </row>
    <row r="104" customFormat="false" ht="15" hidden="false" customHeight="true" outlineLevel="0" collapsed="false">
      <c r="A104" s="10"/>
      <c r="B104" s="11" t="str">
        <f aca="false">IF(A104="","",SUMIFS('Food Log'!C:C,'Food Log'!A:A,A104))</f>
        <v/>
      </c>
      <c r="C104" s="11" t="str">
        <f aca="false">IF(A104="","",SUMIFS('Food Log'!D:D,'Food Log'!A:A,A104))</f>
        <v/>
      </c>
      <c r="D104" s="11" t="str">
        <f aca="false">IF(A104="","",SUMIFS('Food Log'!E:E,'Food Log'!A:A,A104))</f>
        <v/>
      </c>
      <c r="E104" s="11" t="str">
        <f aca="false">IF(A104="","",SUMIFS('Food Log'!F:F,'Food Log'!A:A,A104))</f>
        <v/>
      </c>
      <c r="F104" s="11" t="str">
        <f aca="false">IF(A104="","",SUMIFS('Food Log'!C:C,'Food Log'!A:A,A104,'Food Log'!G:G,"Yes*"))</f>
        <v/>
      </c>
      <c r="G104" s="11" t="str">
        <f aca="false">IF(A104="","",'Profile &amp; Targets'!$B$24)</f>
        <v/>
      </c>
      <c r="H104" s="11" t="str">
        <f aca="false">IF(A104="","",'Profile &amp; Targets'!$B$25)</f>
        <v/>
      </c>
      <c r="I104" s="11" t="str">
        <f aca="false">IF(A104="","",'Profile &amp; Targets'!$B$27)</f>
        <v/>
      </c>
      <c r="J104" s="11" t="str">
        <f aca="false">IF(A104="","",'Profile &amp; Targets'!$B$26)</f>
        <v/>
      </c>
      <c r="K104" s="11" t="str">
        <f aca="false">IF(A104="","",B104-G104)</f>
        <v/>
      </c>
      <c r="L104" s="11" t="str">
        <f aca="false">IF(A104="","",C104-H104)</f>
        <v/>
      </c>
      <c r="M104" s="11" t="str">
        <f aca="false">IF(A104="","",D104-I104)</f>
        <v/>
      </c>
      <c r="N104" s="11" t="str">
        <f aca="false">IF(A104="","",E104-J104)</f>
        <v/>
      </c>
    </row>
    <row r="105" customFormat="false" ht="15" hidden="false" customHeight="true" outlineLevel="0" collapsed="false">
      <c r="A105" s="10"/>
      <c r="B105" s="11" t="str">
        <f aca="false">IF(A105="","",SUMIFS('Food Log'!C:C,'Food Log'!A:A,A105))</f>
        <v/>
      </c>
      <c r="C105" s="11" t="str">
        <f aca="false">IF(A105="","",SUMIFS('Food Log'!D:D,'Food Log'!A:A,A105))</f>
        <v/>
      </c>
      <c r="D105" s="11" t="str">
        <f aca="false">IF(A105="","",SUMIFS('Food Log'!E:E,'Food Log'!A:A,A105))</f>
        <v/>
      </c>
      <c r="E105" s="11" t="str">
        <f aca="false">IF(A105="","",SUMIFS('Food Log'!F:F,'Food Log'!A:A,A105))</f>
        <v/>
      </c>
      <c r="F105" s="11" t="str">
        <f aca="false">IF(A105="","",SUMIFS('Food Log'!C:C,'Food Log'!A:A,A105,'Food Log'!G:G,"Yes*"))</f>
        <v/>
      </c>
      <c r="G105" s="11" t="str">
        <f aca="false">IF(A105="","",'Profile &amp; Targets'!$B$24)</f>
        <v/>
      </c>
      <c r="H105" s="11" t="str">
        <f aca="false">IF(A105="","",'Profile &amp; Targets'!$B$25)</f>
        <v/>
      </c>
      <c r="I105" s="11" t="str">
        <f aca="false">IF(A105="","",'Profile &amp; Targets'!$B$27)</f>
        <v/>
      </c>
      <c r="J105" s="11" t="str">
        <f aca="false">IF(A105="","",'Profile &amp; Targets'!$B$26)</f>
        <v/>
      </c>
      <c r="K105" s="11" t="str">
        <f aca="false">IF(A105="","",B105-G105)</f>
        <v/>
      </c>
      <c r="L105" s="11" t="str">
        <f aca="false">IF(A105="","",C105-H105)</f>
        <v/>
      </c>
      <c r="M105" s="11" t="str">
        <f aca="false">IF(A105="","",D105-I105)</f>
        <v/>
      </c>
      <c r="N105" s="11" t="str">
        <f aca="false">IF(A105="","",E105-J105)</f>
        <v/>
      </c>
    </row>
    <row r="106" customFormat="false" ht="15" hidden="false" customHeight="true" outlineLevel="0" collapsed="false">
      <c r="A106" s="10"/>
      <c r="B106" s="11" t="str">
        <f aca="false">IF(A106="","",SUMIFS('Food Log'!C:C,'Food Log'!A:A,A106))</f>
        <v/>
      </c>
      <c r="C106" s="11" t="str">
        <f aca="false">IF(A106="","",SUMIFS('Food Log'!D:D,'Food Log'!A:A,A106))</f>
        <v/>
      </c>
      <c r="D106" s="11" t="str">
        <f aca="false">IF(A106="","",SUMIFS('Food Log'!E:E,'Food Log'!A:A,A106))</f>
        <v/>
      </c>
      <c r="E106" s="11" t="str">
        <f aca="false">IF(A106="","",SUMIFS('Food Log'!F:F,'Food Log'!A:A,A106))</f>
        <v/>
      </c>
      <c r="F106" s="11" t="str">
        <f aca="false">IF(A106="","",SUMIFS('Food Log'!C:C,'Food Log'!A:A,A106,'Food Log'!G:G,"Yes*"))</f>
        <v/>
      </c>
      <c r="G106" s="11" t="str">
        <f aca="false">IF(A106="","",'Profile &amp; Targets'!$B$24)</f>
        <v/>
      </c>
      <c r="H106" s="11" t="str">
        <f aca="false">IF(A106="","",'Profile &amp; Targets'!$B$25)</f>
        <v/>
      </c>
      <c r="I106" s="11" t="str">
        <f aca="false">IF(A106="","",'Profile &amp; Targets'!$B$27)</f>
        <v/>
      </c>
      <c r="J106" s="11" t="str">
        <f aca="false">IF(A106="","",'Profile &amp; Targets'!$B$26)</f>
        <v/>
      </c>
      <c r="K106" s="11" t="str">
        <f aca="false">IF(A106="","",B106-G106)</f>
        <v/>
      </c>
      <c r="L106" s="11" t="str">
        <f aca="false">IF(A106="","",C106-H106)</f>
        <v/>
      </c>
      <c r="M106" s="11" t="str">
        <f aca="false">IF(A106="","",D106-I106)</f>
        <v/>
      </c>
      <c r="N106" s="11" t="str">
        <f aca="false">IF(A106="","",E106-J106)</f>
        <v/>
      </c>
    </row>
    <row r="107" customFormat="false" ht="15" hidden="false" customHeight="true" outlineLevel="0" collapsed="false">
      <c r="A107" s="10"/>
      <c r="B107" s="11" t="str">
        <f aca="false">IF(A107="","",SUMIFS('Food Log'!C:C,'Food Log'!A:A,A107))</f>
        <v/>
      </c>
      <c r="C107" s="11" t="str">
        <f aca="false">IF(A107="","",SUMIFS('Food Log'!D:D,'Food Log'!A:A,A107))</f>
        <v/>
      </c>
      <c r="D107" s="11" t="str">
        <f aca="false">IF(A107="","",SUMIFS('Food Log'!E:E,'Food Log'!A:A,A107))</f>
        <v/>
      </c>
      <c r="E107" s="11" t="str">
        <f aca="false">IF(A107="","",SUMIFS('Food Log'!F:F,'Food Log'!A:A,A107))</f>
        <v/>
      </c>
      <c r="F107" s="11" t="str">
        <f aca="false">IF(A107="","",SUMIFS('Food Log'!C:C,'Food Log'!A:A,A107,'Food Log'!G:G,"Yes*"))</f>
        <v/>
      </c>
      <c r="G107" s="11" t="str">
        <f aca="false">IF(A107="","",'Profile &amp; Targets'!$B$24)</f>
        <v/>
      </c>
      <c r="H107" s="11" t="str">
        <f aca="false">IF(A107="","",'Profile &amp; Targets'!$B$25)</f>
        <v/>
      </c>
      <c r="I107" s="11" t="str">
        <f aca="false">IF(A107="","",'Profile &amp; Targets'!$B$27)</f>
        <v/>
      </c>
      <c r="J107" s="11" t="str">
        <f aca="false">IF(A107="","",'Profile &amp; Targets'!$B$26)</f>
        <v/>
      </c>
      <c r="K107" s="11" t="str">
        <f aca="false">IF(A107="","",B107-G107)</f>
        <v/>
      </c>
      <c r="L107" s="11" t="str">
        <f aca="false">IF(A107="","",C107-H107)</f>
        <v/>
      </c>
      <c r="M107" s="11" t="str">
        <f aca="false">IF(A107="","",D107-I107)</f>
        <v/>
      </c>
      <c r="N107" s="11" t="str">
        <f aca="false">IF(A107="","",E107-J107)</f>
        <v/>
      </c>
    </row>
    <row r="108" customFormat="false" ht="15" hidden="false" customHeight="true" outlineLevel="0" collapsed="false">
      <c r="A108" s="10"/>
      <c r="B108" s="11" t="str">
        <f aca="false">IF(A108="","",SUMIFS('Food Log'!C:C,'Food Log'!A:A,A108))</f>
        <v/>
      </c>
      <c r="C108" s="11" t="str">
        <f aca="false">IF(A108="","",SUMIFS('Food Log'!D:D,'Food Log'!A:A,A108))</f>
        <v/>
      </c>
      <c r="D108" s="11" t="str">
        <f aca="false">IF(A108="","",SUMIFS('Food Log'!E:E,'Food Log'!A:A,A108))</f>
        <v/>
      </c>
      <c r="E108" s="11" t="str">
        <f aca="false">IF(A108="","",SUMIFS('Food Log'!F:F,'Food Log'!A:A,A108))</f>
        <v/>
      </c>
      <c r="F108" s="11" t="str">
        <f aca="false">IF(A108="","",SUMIFS('Food Log'!C:C,'Food Log'!A:A,A108,'Food Log'!G:G,"Yes*"))</f>
        <v/>
      </c>
      <c r="G108" s="11" t="str">
        <f aca="false">IF(A108="","",'Profile &amp; Targets'!$B$24)</f>
        <v/>
      </c>
      <c r="H108" s="11" t="str">
        <f aca="false">IF(A108="","",'Profile &amp; Targets'!$B$25)</f>
        <v/>
      </c>
      <c r="I108" s="11" t="str">
        <f aca="false">IF(A108="","",'Profile &amp; Targets'!$B$27)</f>
        <v/>
      </c>
      <c r="J108" s="11" t="str">
        <f aca="false">IF(A108="","",'Profile &amp; Targets'!$B$26)</f>
        <v/>
      </c>
      <c r="K108" s="11" t="str">
        <f aca="false">IF(A108="","",B108-G108)</f>
        <v/>
      </c>
      <c r="L108" s="11" t="str">
        <f aca="false">IF(A108="","",C108-H108)</f>
        <v/>
      </c>
      <c r="M108" s="11" t="str">
        <f aca="false">IF(A108="","",D108-I108)</f>
        <v/>
      </c>
      <c r="N108" s="11" t="str">
        <f aca="false">IF(A108="","",E108-J108)</f>
        <v/>
      </c>
    </row>
    <row r="109" customFormat="false" ht="15" hidden="false" customHeight="true" outlineLevel="0" collapsed="false">
      <c r="A109" s="10"/>
      <c r="B109" s="11" t="str">
        <f aca="false">IF(A109="","",SUMIFS('Food Log'!C:C,'Food Log'!A:A,A109))</f>
        <v/>
      </c>
      <c r="C109" s="11" t="str">
        <f aca="false">IF(A109="","",SUMIFS('Food Log'!D:D,'Food Log'!A:A,A109))</f>
        <v/>
      </c>
      <c r="D109" s="11" t="str">
        <f aca="false">IF(A109="","",SUMIFS('Food Log'!E:E,'Food Log'!A:A,A109))</f>
        <v/>
      </c>
      <c r="E109" s="11" t="str">
        <f aca="false">IF(A109="","",SUMIFS('Food Log'!F:F,'Food Log'!A:A,A109))</f>
        <v/>
      </c>
      <c r="F109" s="11" t="str">
        <f aca="false">IF(A109="","",SUMIFS('Food Log'!C:C,'Food Log'!A:A,A109,'Food Log'!G:G,"Yes*"))</f>
        <v/>
      </c>
      <c r="G109" s="11" t="str">
        <f aca="false">IF(A109="","",'Profile &amp; Targets'!$B$24)</f>
        <v/>
      </c>
      <c r="H109" s="11" t="str">
        <f aca="false">IF(A109="","",'Profile &amp; Targets'!$B$25)</f>
        <v/>
      </c>
      <c r="I109" s="11" t="str">
        <f aca="false">IF(A109="","",'Profile &amp; Targets'!$B$27)</f>
        <v/>
      </c>
      <c r="J109" s="11" t="str">
        <f aca="false">IF(A109="","",'Profile &amp; Targets'!$B$26)</f>
        <v/>
      </c>
      <c r="K109" s="11" t="str">
        <f aca="false">IF(A109="","",B109-G109)</f>
        <v/>
      </c>
      <c r="L109" s="11" t="str">
        <f aca="false">IF(A109="","",C109-H109)</f>
        <v/>
      </c>
      <c r="M109" s="11" t="str">
        <f aca="false">IF(A109="","",D109-I109)</f>
        <v/>
      </c>
      <c r="N109" s="11" t="str">
        <f aca="false">IF(A109="","",E109-J109)</f>
        <v/>
      </c>
    </row>
    <row r="110" customFormat="false" ht="15" hidden="false" customHeight="true" outlineLevel="0" collapsed="false">
      <c r="A110" s="10"/>
      <c r="B110" s="11" t="str">
        <f aca="false">IF(A110="","",SUMIFS('Food Log'!C:C,'Food Log'!A:A,A110))</f>
        <v/>
      </c>
      <c r="C110" s="11" t="str">
        <f aca="false">IF(A110="","",SUMIFS('Food Log'!D:D,'Food Log'!A:A,A110))</f>
        <v/>
      </c>
      <c r="D110" s="11" t="str">
        <f aca="false">IF(A110="","",SUMIFS('Food Log'!E:E,'Food Log'!A:A,A110))</f>
        <v/>
      </c>
      <c r="E110" s="11" t="str">
        <f aca="false">IF(A110="","",SUMIFS('Food Log'!F:F,'Food Log'!A:A,A110))</f>
        <v/>
      </c>
      <c r="F110" s="11" t="str">
        <f aca="false">IF(A110="","",SUMIFS('Food Log'!C:C,'Food Log'!A:A,A110,'Food Log'!G:G,"Yes*"))</f>
        <v/>
      </c>
      <c r="G110" s="11" t="str">
        <f aca="false">IF(A110="","",'Profile &amp; Targets'!$B$24)</f>
        <v/>
      </c>
      <c r="H110" s="11" t="str">
        <f aca="false">IF(A110="","",'Profile &amp; Targets'!$B$25)</f>
        <v/>
      </c>
      <c r="I110" s="11" t="str">
        <f aca="false">IF(A110="","",'Profile &amp; Targets'!$B$27)</f>
        <v/>
      </c>
      <c r="J110" s="11" t="str">
        <f aca="false">IF(A110="","",'Profile &amp; Targets'!$B$26)</f>
        <v/>
      </c>
      <c r="K110" s="11" t="str">
        <f aca="false">IF(A110="","",B110-G110)</f>
        <v/>
      </c>
      <c r="L110" s="11" t="str">
        <f aca="false">IF(A110="","",C110-H110)</f>
        <v/>
      </c>
      <c r="M110" s="11" t="str">
        <f aca="false">IF(A110="","",D110-I110)</f>
        <v/>
      </c>
      <c r="N110" s="11" t="str">
        <f aca="false">IF(A110="","",E110-J110)</f>
        <v/>
      </c>
    </row>
    <row r="111" customFormat="false" ht="15" hidden="false" customHeight="true" outlineLevel="0" collapsed="false">
      <c r="A111" s="10"/>
      <c r="B111" s="11" t="str">
        <f aca="false">IF(A111="","",SUMIFS('Food Log'!C:C,'Food Log'!A:A,A111))</f>
        <v/>
      </c>
      <c r="C111" s="11" t="str">
        <f aca="false">IF(A111="","",SUMIFS('Food Log'!D:D,'Food Log'!A:A,A111))</f>
        <v/>
      </c>
      <c r="D111" s="11" t="str">
        <f aca="false">IF(A111="","",SUMIFS('Food Log'!E:E,'Food Log'!A:A,A111))</f>
        <v/>
      </c>
      <c r="E111" s="11" t="str">
        <f aca="false">IF(A111="","",SUMIFS('Food Log'!F:F,'Food Log'!A:A,A111))</f>
        <v/>
      </c>
      <c r="F111" s="11" t="str">
        <f aca="false">IF(A111="","",SUMIFS('Food Log'!C:C,'Food Log'!A:A,A111,'Food Log'!G:G,"Yes*"))</f>
        <v/>
      </c>
      <c r="G111" s="11" t="str">
        <f aca="false">IF(A111="","",'Profile &amp; Targets'!$B$24)</f>
        <v/>
      </c>
      <c r="H111" s="11" t="str">
        <f aca="false">IF(A111="","",'Profile &amp; Targets'!$B$25)</f>
        <v/>
      </c>
      <c r="I111" s="11" t="str">
        <f aca="false">IF(A111="","",'Profile &amp; Targets'!$B$27)</f>
        <v/>
      </c>
      <c r="J111" s="11" t="str">
        <f aca="false">IF(A111="","",'Profile &amp; Targets'!$B$26)</f>
        <v/>
      </c>
      <c r="K111" s="11" t="str">
        <f aca="false">IF(A111="","",B111-G111)</f>
        <v/>
      </c>
      <c r="L111" s="11" t="str">
        <f aca="false">IF(A111="","",C111-H111)</f>
        <v/>
      </c>
      <c r="M111" s="11" t="str">
        <f aca="false">IF(A111="","",D111-I111)</f>
        <v/>
      </c>
      <c r="N111" s="11" t="str">
        <f aca="false">IF(A111="","",E111-J111)</f>
        <v/>
      </c>
    </row>
    <row r="112" customFormat="false" ht="15" hidden="false" customHeight="true" outlineLevel="0" collapsed="false">
      <c r="A112" s="10"/>
      <c r="B112" s="11" t="str">
        <f aca="false">IF(A112="","",SUMIFS('Food Log'!C:C,'Food Log'!A:A,A112))</f>
        <v/>
      </c>
      <c r="C112" s="11" t="str">
        <f aca="false">IF(A112="","",SUMIFS('Food Log'!D:D,'Food Log'!A:A,A112))</f>
        <v/>
      </c>
      <c r="D112" s="11" t="str">
        <f aca="false">IF(A112="","",SUMIFS('Food Log'!E:E,'Food Log'!A:A,A112))</f>
        <v/>
      </c>
      <c r="E112" s="11" t="str">
        <f aca="false">IF(A112="","",SUMIFS('Food Log'!F:F,'Food Log'!A:A,A112))</f>
        <v/>
      </c>
      <c r="F112" s="11" t="str">
        <f aca="false">IF(A112="","",SUMIFS('Food Log'!C:C,'Food Log'!A:A,A112,'Food Log'!G:G,"Yes*"))</f>
        <v/>
      </c>
      <c r="G112" s="11" t="str">
        <f aca="false">IF(A112="","",'Profile &amp; Targets'!$B$24)</f>
        <v/>
      </c>
      <c r="H112" s="11" t="str">
        <f aca="false">IF(A112="","",'Profile &amp; Targets'!$B$25)</f>
        <v/>
      </c>
      <c r="I112" s="11" t="str">
        <f aca="false">IF(A112="","",'Profile &amp; Targets'!$B$27)</f>
        <v/>
      </c>
      <c r="J112" s="11" t="str">
        <f aca="false">IF(A112="","",'Profile &amp; Targets'!$B$26)</f>
        <v/>
      </c>
      <c r="K112" s="11" t="str">
        <f aca="false">IF(A112="","",B112-G112)</f>
        <v/>
      </c>
      <c r="L112" s="11" t="str">
        <f aca="false">IF(A112="","",C112-H112)</f>
        <v/>
      </c>
      <c r="M112" s="11" t="str">
        <f aca="false">IF(A112="","",D112-I112)</f>
        <v/>
      </c>
      <c r="N112" s="11" t="str">
        <f aca="false">IF(A112="","",E112-J112)</f>
        <v/>
      </c>
    </row>
    <row r="113" customFormat="false" ht="15" hidden="false" customHeight="true" outlineLevel="0" collapsed="false">
      <c r="A113" s="10"/>
      <c r="B113" s="11" t="str">
        <f aca="false">IF(A113="","",SUMIFS('Food Log'!C:C,'Food Log'!A:A,A113))</f>
        <v/>
      </c>
      <c r="C113" s="11" t="str">
        <f aca="false">IF(A113="","",SUMIFS('Food Log'!D:D,'Food Log'!A:A,A113))</f>
        <v/>
      </c>
      <c r="D113" s="11" t="str">
        <f aca="false">IF(A113="","",SUMIFS('Food Log'!E:E,'Food Log'!A:A,A113))</f>
        <v/>
      </c>
      <c r="E113" s="11" t="str">
        <f aca="false">IF(A113="","",SUMIFS('Food Log'!F:F,'Food Log'!A:A,A113))</f>
        <v/>
      </c>
      <c r="F113" s="11" t="str">
        <f aca="false">IF(A113="","",SUMIFS('Food Log'!C:C,'Food Log'!A:A,A113,'Food Log'!G:G,"Yes*"))</f>
        <v/>
      </c>
      <c r="G113" s="11" t="str">
        <f aca="false">IF(A113="","",'Profile &amp; Targets'!$B$24)</f>
        <v/>
      </c>
      <c r="H113" s="11" t="str">
        <f aca="false">IF(A113="","",'Profile &amp; Targets'!$B$25)</f>
        <v/>
      </c>
      <c r="I113" s="11" t="str">
        <f aca="false">IF(A113="","",'Profile &amp; Targets'!$B$27)</f>
        <v/>
      </c>
      <c r="J113" s="11" t="str">
        <f aca="false">IF(A113="","",'Profile &amp; Targets'!$B$26)</f>
        <v/>
      </c>
      <c r="K113" s="11" t="str">
        <f aca="false">IF(A113="","",B113-G113)</f>
        <v/>
      </c>
      <c r="L113" s="11" t="str">
        <f aca="false">IF(A113="","",C113-H113)</f>
        <v/>
      </c>
      <c r="M113" s="11" t="str">
        <f aca="false">IF(A113="","",D113-I113)</f>
        <v/>
      </c>
      <c r="N113" s="11" t="str">
        <f aca="false">IF(A113="","",E113-J113)</f>
        <v/>
      </c>
    </row>
    <row r="114" customFormat="false" ht="15" hidden="false" customHeight="true" outlineLevel="0" collapsed="false">
      <c r="A114" s="10"/>
      <c r="B114" s="11" t="str">
        <f aca="false">IF(A114="","",SUMIFS('Food Log'!C:C,'Food Log'!A:A,A114))</f>
        <v/>
      </c>
      <c r="C114" s="11" t="str">
        <f aca="false">IF(A114="","",SUMIFS('Food Log'!D:D,'Food Log'!A:A,A114))</f>
        <v/>
      </c>
      <c r="D114" s="11" t="str">
        <f aca="false">IF(A114="","",SUMIFS('Food Log'!E:E,'Food Log'!A:A,A114))</f>
        <v/>
      </c>
      <c r="E114" s="11" t="str">
        <f aca="false">IF(A114="","",SUMIFS('Food Log'!F:F,'Food Log'!A:A,A114))</f>
        <v/>
      </c>
      <c r="F114" s="11" t="str">
        <f aca="false">IF(A114="","",SUMIFS('Food Log'!C:C,'Food Log'!A:A,A114,'Food Log'!G:G,"Yes*"))</f>
        <v/>
      </c>
      <c r="G114" s="11" t="str">
        <f aca="false">IF(A114="","",'Profile &amp; Targets'!$B$24)</f>
        <v/>
      </c>
      <c r="H114" s="11" t="str">
        <f aca="false">IF(A114="","",'Profile &amp; Targets'!$B$25)</f>
        <v/>
      </c>
      <c r="I114" s="11" t="str">
        <f aca="false">IF(A114="","",'Profile &amp; Targets'!$B$27)</f>
        <v/>
      </c>
      <c r="J114" s="11" t="str">
        <f aca="false">IF(A114="","",'Profile &amp; Targets'!$B$26)</f>
        <v/>
      </c>
      <c r="K114" s="11" t="str">
        <f aca="false">IF(A114="","",B114-G114)</f>
        <v/>
      </c>
      <c r="L114" s="11" t="str">
        <f aca="false">IF(A114="","",C114-H114)</f>
        <v/>
      </c>
      <c r="M114" s="11" t="str">
        <f aca="false">IF(A114="","",D114-I114)</f>
        <v/>
      </c>
      <c r="N114" s="11" t="str">
        <f aca="false">IF(A114="","",E114-J114)</f>
        <v/>
      </c>
    </row>
    <row r="115" customFormat="false" ht="15" hidden="false" customHeight="true" outlineLevel="0" collapsed="false">
      <c r="A115" s="10"/>
      <c r="B115" s="11" t="str">
        <f aca="false">IF(A115="","",SUMIFS('Food Log'!C:C,'Food Log'!A:A,A115))</f>
        <v/>
      </c>
      <c r="C115" s="11" t="str">
        <f aca="false">IF(A115="","",SUMIFS('Food Log'!D:D,'Food Log'!A:A,A115))</f>
        <v/>
      </c>
      <c r="D115" s="11" t="str">
        <f aca="false">IF(A115="","",SUMIFS('Food Log'!E:E,'Food Log'!A:A,A115))</f>
        <v/>
      </c>
      <c r="E115" s="11" t="str">
        <f aca="false">IF(A115="","",SUMIFS('Food Log'!F:F,'Food Log'!A:A,A115))</f>
        <v/>
      </c>
      <c r="F115" s="11" t="str">
        <f aca="false">IF(A115="","",SUMIFS('Food Log'!C:C,'Food Log'!A:A,A115,'Food Log'!G:G,"Yes*"))</f>
        <v/>
      </c>
      <c r="G115" s="11" t="str">
        <f aca="false">IF(A115="","",'Profile &amp; Targets'!$B$24)</f>
        <v/>
      </c>
      <c r="H115" s="11" t="str">
        <f aca="false">IF(A115="","",'Profile &amp; Targets'!$B$25)</f>
        <v/>
      </c>
      <c r="I115" s="11" t="str">
        <f aca="false">IF(A115="","",'Profile &amp; Targets'!$B$27)</f>
        <v/>
      </c>
      <c r="J115" s="11" t="str">
        <f aca="false">IF(A115="","",'Profile &amp; Targets'!$B$26)</f>
        <v/>
      </c>
      <c r="K115" s="11" t="str">
        <f aca="false">IF(A115="","",B115-G115)</f>
        <v/>
      </c>
      <c r="L115" s="11" t="str">
        <f aca="false">IF(A115="","",C115-H115)</f>
        <v/>
      </c>
      <c r="M115" s="11" t="str">
        <f aca="false">IF(A115="","",D115-I115)</f>
        <v/>
      </c>
      <c r="N115" s="11" t="str">
        <f aca="false">IF(A115="","",E115-J115)</f>
        <v/>
      </c>
    </row>
    <row r="116" customFormat="false" ht="15" hidden="false" customHeight="true" outlineLevel="0" collapsed="false">
      <c r="A116" s="10"/>
      <c r="B116" s="11" t="str">
        <f aca="false">IF(A116="","",SUMIFS('Food Log'!C:C,'Food Log'!A:A,A116))</f>
        <v/>
      </c>
      <c r="C116" s="11" t="str">
        <f aca="false">IF(A116="","",SUMIFS('Food Log'!D:D,'Food Log'!A:A,A116))</f>
        <v/>
      </c>
      <c r="D116" s="11" t="str">
        <f aca="false">IF(A116="","",SUMIFS('Food Log'!E:E,'Food Log'!A:A,A116))</f>
        <v/>
      </c>
      <c r="E116" s="11" t="str">
        <f aca="false">IF(A116="","",SUMIFS('Food Log'!F:F,'Food Log'!A:A,A116))</f>
        <v/>
      </c>
      <c r="F116" s="11" t="str">
        <f aca="false">IF(A116="","",SUMIFS('Food Log'!C:C,'Food Log'!A:A,A116,'Food Log'!G:G,"Yes*"))</f>
        <v/>
      </c>
      <c r="G116" s="11" t="str">
        <f aca="false">IF(A116="","",'Profile &amp; Targets'!$B$24)</f>
        <v/>
      </c>
      <c r="H116" s="11" t="str">
        <f aca="false">IF(A116="","",'Profile &amp; Targets'!$B$25)</f>
        <v/>
      </c>
      <c r="I116" s="11" t="str">
        <f aca="false">IF(A116="","",'Profile &amp; Targets'!$B$27)</f>
        <v/>
      </c>
      <c r="J116" s="11" t="str">
        <f aca="false">IF(A116="","",'Profile &amp; Targets'!$B$26)</f>
        <v/>
      </c>
      <c r="K116" s="11" t="str">
        <f aca="false">IF(A116="","",B116-G116)</f>
        <v/>
      </c>
      <c r="L116" s="11" t="str">
        <f aca="false">IF(A116="","",C116-H116)</f>
        <v/>
      </c>
      <c r="M116" s="11" t="str">
        <f aca="false">IF(A116="","",D116-I116)</f>
        <v/>
      </c>
      <c r="N116" s="11" t="str">
        <f aca="false">IF(A116="","",E116-J116)</f>
        <v/>
      </c>
    </row>
    <row r="117" customFormat="false" ht="15" hidden="false" customHeight="true" outlineLevel="0" collapsed="false">
      <c r="A117" s="10"/>
      <c r="B117" s="11" t="str">
        <f aca="false">IF(A117="","",SUMIFS('Food Log'!C:C,'Food Log'!A:A,A117))</f>
        <v/>
      </c>
      <c r="C117" s="11" t="str">
        <f aca="false">IF(A117="","",SUMIFS('Food Log'!D:D,'Food Log'!A:A,A117))</f>
        <v/>
      </c>
      <c r="D117" s="11" t="str">
        <f aca="false">IF(A117="","",SUMIFS('Food Log'!E:E,'Food Log'!A:A,A117))</f>
        <v/>
      </c>
      <c r="E117" s="11" t="str">
        <f aca="false">IF(A117="","",SUMIFS('Food Log'!F:F,'Food Log'!A:A,A117))</f>
        <v/>
      </c>
      <c r="F117" s="11" t="str">
        <f aca="false">IF(A117="","",SUMIFS('Food Log'!C:C,'Food Log'!A:A,A117,'Food Log'!G:G,"Yes*"))</f>
        <v/>
      </c>
      <c r="G117" s="11" t="str">
        <f aca="false">IF(A117="","",'Profile &amp; Targets'!$B$24)</f>
        <v/>
      </c>
      <c r="H117" s="11" t="str">
        <f aca="false">IF(A117="","",'Profile &amp; Targets'!$B$25)</f>
        <v/>
      </c>
      <c r="I117" s="11" t="str">
        <f aca="false">IF(A117="","",'Profile &amp; Targets'!$B$27)</f>
        <v/>
      </c>
      <c r="J117" s="11" t="str">
        <f aca="false">IF(A117="","",'Profile &amp; Targets'!$B$26)</f>
        <v/>
      </c>
      <c r="K117" s="11" t="str">
        <f aca="false">IF(A117="","",B117-G117)</f>
        <v/>
      </c>
      <c r="L117" s="11" t="str">
        <f aca="false">IF(A117="","",C117-H117)</f>
        <v/>
      </c>
      <c r="M117" s="11" t="str">
        <f aca="false">IF(A117="","",D117-I117)</f>
        <v/>
      </c>
      <c r="N117" s="11" t="str">
        <f aca="false">IF(A117="","",E117-J117)</f>
        <v/>
      </c>
    </row>
    <row r="118" customFormat="false" ht="15" hidden="false" customHeight="true" outlineLevel="0" collapsed="false">
      <c r="A118" s="10"/>
      <c r="B118" s="11" t="str">
        <f aca="false">IF(A118="","",SUMIFS('Food Log'!C:C,'Food Log'!A:A,A118))</f>
        <v/>
      </c>
      <c r="C118" s="11" t="str">
        <f aca="false">IF(A118="","",SUMIFS('Food Log'!D:D,'Food Log'!A:A,A118))</f>
        <v/>
      </c>
      <c r="D118" s="11" t="str">
        <f aca="false">IF(A118="","",SUMIFS('Food Log'!E:E,'Food Log'!A:A,A118))</f>
        <v/>
      </c>
      <c r="E118" s="11" t="str">
        <f aca="false">IF(A118="","",SUMIFS('Food Log'!F:F,'Food Log'!A:A,A118))</f>
        <v/>
      </c>
      <c r="F118" s="11" t="str">
        <f aca="false">IF(A118="","",SUMIFS('Food Log'!C:C,'Food Log'!A:A,A118,'Food Log'!G:G,"Yes*"))</f>
        <v/>
      </c>
      <c r="G118" s="11" t="str">
        <f aca="false">IF(A118="","",'Profile &amp; Targets'!$B$24)</f>
        <v/>
      </c>
      <c r="H118" s="11" t="str">
        <f aca="false">IF(A118="","",'Profile &amp; Targets'!$B$25)</f>
        <v/>
      </c>
      <c r="I118" s="11" t="str">
        <f aca="false">IF(A118="","",'Profile &amp; Targets'!$B$27)</f>
        <v/>
      </c>
      <c r="J118" s="11" t="str">
        <f aca="false">IF(A118="","",'Profile &amp; Targets'!$B$26)</f>
        <v/>
      </c>
      <c r="K118" s="11" t="str">
        <f aca="false">IF(A118="","",B118-G118)</f>
        <v/>
      </c>
      <c r="L118" s="11" t="str">
        <f aca="false">IF(A118="","",C118-H118)</f>
        <v/>
      </c>
      <c r="M118" s="11" t="str">
        <f aca="false">IF(A118="","",D118-I118)</f>
        <v/>
      </c>
      <c r="N118" s="11" t="str">
        <f aca="false">IF(A118="","",E118-J118)</f>
        <v/>
      </c>
    </row>
    <row r="119" customFormat="false" ht="15" hidden="false" customHeight="true" outlineLevel="0" collapsed="false">
      <c r="A119" s="10"/>
      <c r="B119" s="11" t="str">
        <f aca="false">IF(A119="","",SUMIFS('Food Log'!C:C,'Food Log'!A:A,A119))</f>
        <v/>
      </c>
      <c r="C119" s="11" t="str">
        <f aca="false">IF(A119="","",SUMIFS('Food Log'!D:D,'Food Log'!A:A,A119))</f>
        <v/>
      </c>
      <c r="D119" s="11" t="str">
        <f aca="false">IF(A119="","",SUMIFS('Food Log'!E:E,'Food Log'!A:A,A119))</f>
        <v/>
      </c>
      <c r="E119" s="11" t="str">
        <f aca="false">IF(A119="","",SUMIFS('Food Log'!F:F,'Food Log'!A:A,A119))</f>
        <v/>
      </c>
      <c r="F119" s="11" t="str">
        <f aca="false">IF(A119="","",SUMIFS('Food Log'!C:C,'Food Log'!A:A,A119,'Food Log'!G:G,"Yes*"))</f>
        <v/>
      </c>
      <c r="G119" s="11" t="str">
        <f aca="false">IF(A119="","",'Profile &amp; Targets'!$B$24)</f>
        <v/>
      </c>
      <c r="H119" s="11" t="str">
        <f aca="false">IF(A119="","",'Profile &amp; Targets'!$B$25)</f>
        <v/>
      </c>
      <c r="I119" s="11" t="str">
        <f aca="false">IF(A119="","",'Profile &amp; Targets'!$B$27)</f>
        <v/>
      </c>
      <c r="J119" s="11" t="str">
        <f aca="false">IF(A119="","",'Profile &amp; Targets'!$B$26)</f>
        <v/>
      </c>
      <c r="K119" s="11" t="str">
        <f aca="false">IF(A119="","",B119-G119)</f>
        <v/>
      </c>
      <c r="L119" s="11" t="str">
        <f aca="false">IF(A119="","",C119-H119)</f>
        <v/>
      </c>
      <c r="M119" s="11" t="str">
        <f aca="false">IF(A119="","",D119-I119)</f>
        <v/>
      </c>
      <c r="N119" s="11" t="str">
        <f aca="false">IF(A119="","",E119-J119)</f>
        <v/>
      </c>
    </row>
    <row r="120" customFormat="false" ht="15" hidden="false" customHeight="true" outlineLevel="0" collapsed="false">
      <c r="A120" s="10"/>
      <c r="B120" s="11" t="str">
        <f aca="false">IF(A120="","",SUMIFS('Food Log'!C:C,'Food Log'!A:A,A120))</f>
        <v/>
      </c>
      <c r="C120" s="11" t="str">
        <f aca="false">IF(A120="","",SUMIFS('Food Log'!D:D,'Food Log'!A:A,A120))</f>
        <v/>
      </c>
      <c r="D120" s="11" t="str">
        <f aca="false">IF(A120="","",SUMIFS('Food Log'!E:E,'Food Log'!A:A,A120))</f>
        <v/>
      </c>
      <c r="E120" s="11" t="str">
        <f aca="false">IF(A120="","",SUMIFS('Food Log'!F:F,'Food Log'!A:A,A120))</f>
        <v/>
      </c>
      <c r="F120" s="11" t="str">
        <f aca="false">IF(A120="","",SUMIFS('Food Log'!C:C,'Food Log'!A:A,A120,'Food Log'!G:G,"Yes*"))</f>
        <v/>
      </c>
      <c r="G120" s="11" t="str">
        <f aca="false">IF(A120="","",'Profile &amp; Targets'!$B$24)</f>
        <v/>
      </c>
      <c r="H120" s="11" t="str">
        <f aca="false">IF(A120="","",'Profile &amp; Targets'!$B$25)</f>
        <v/>
      </c>
      <c r="I120" s="11" t="str">
        <f aca="false">IF(A120="","",'Profile &amp; Targets'!$B$27)</f>
        <v/>
      </c>
      <c r="J120" s="11" t="str">
        <f aca="false">IF(A120="","",'Profile &amp; Targets'!$B$26)</f>
        <v/>
      </c>
      <c r="K120" s="11" t="str">
        <f aca="false">IF(A120="","",B120-G120)</f>
        <v/>
      </c>
      <c r="L120" s="11" t="str">
        <f aca="false">IF(A120="","",C120-H120)</f>
        <v/>
      </c>
      <c r="M120" s="11" t="str">
        <f aca="false">IF(A120="","",D120-I120)</f>
        <v/>
      </c>
      <c r="N120" s="11" t="str">
        <f aca="false">IF(A120="","",E120-J120)</f>
        <v/>
      </c>
    </row>
    <row r="121" customFormat="false" ht="15" hidden="false" customHeight="true" outlineLevel="0" collapsed="false">
      <c r="A121" s="10"/>
      <c r="B121" s="11" t="str">
        <f aca="false">IF(A121="","",SUMIFS('Food Log'!C:C,'Food Log'!A:A,A121))</f>
        <v/>
      </c>
      <c r="C121" s="11" t="str">
        <f aca="false">IF(A121="","",SUMIFS('Food Log'!D:D,'Food Log'!A:A,A121))</f>
        <v/>
      </c>
      <c r="D121" s="11" t="str">
        <f aca="false">IF(A121="","",SUMIFS('Food Log'!E:E,'Food Log'!A:A,A121))</f>
        <v/>
      </c>
      <c r="E121" s="11" t="str">
        <f aca="false">IF(A121="","",SUMIFS('Food Log'!F:F,'Food Log'!A:A,A121))</f>
        <v/>
      </c>
      <c r="F121" s="11" t="str">
        <f aca="false">IF(A121="","",SUMIFS('Food Log'!C:C,'Food Log'!A:A,A121,'Food Log'!G:G,"Yes*"))</f>
        <v/>
      </c>
      <c r="G121" s="11" t="str">
        <f aca="false">IF(A121="","",'Profile &amp; Targets'!$B$24)</f>
        <v/>
      </c>
      <c r="H121" s="11" t="str">
        <f aca="false">IF(A121="","",'Profile &amp; Targets'!$B$25)</f>
        <v/>
      </c>
      <c r="I121" s="11" t="str">
        <f aca="false">IF(A121="","",'Profile &amp; Targets'!$B$27)</f>
        <v/>
      </c>
      <c r="J121" s="11" t="str">
        <f aca="false">IF(A121="","",'Profile &amp; Targets'!$B$26)</f>
        <v/>
      </c>
      <c r="K121" s="11" t="str">
        <f aca="false">IF(A121="","",B121-G121)</f>
        <v/>
      </c>
      <c r="L121" s="11" t="str">
        <f aca="false">IF(A121="","",C121-H121)</f>
        <v/>
      </c>
      <c r="M121" s="11" t="str">
        <f aca="false">IF(A121="","",D121-I121)</f>
        <v/>
      </c>
      <c r="N121" s="11" t="str">
        <f aca="false">IF(A121="","",E121-J121)</f>
        <v/>
      </c>
    </row>
    <row r="122" customFormat="false" ht="15" hidden="false" customHeight="true" outlineLevel="0" collapsed="false">
      <c r="A122" s="10"/>
      <c r="B122" s="11" t="str">
        <f aca="false">IF(A122="","",SUMIFS('Food Log'!C:C,'Food Log'!A:A,A122))</f>
        <v/>
      </c>
      <c r="C122" s="11" t="str">
        <f aca="false">IF(A122="","",SUMIFS('Food Log'!D:D,'Food Log'!A:A,A122))</f>
        <v/>
      </c>
      <c r="D122" s="11" t="str">
        <f aca="false">IF(A122="","",SUMIFS('Food Log'!E:E,'Food Log'!A:A,A122))</f>
        <v/>
      </c>
      <c r="E122" s="11" t="str">
        <f aca="false">IF(A122="","",SUMIFS('Food Log'!F:F,'Food Log'!A:A,A122))</f>
        <v/>
      </c>
      <c r="F122" s="11" t="str">
        <f aca="false">IF(A122="","",SUMIFS('Food Log'!C:C,'Food Log'!A:A,A122,'Food Log'!G:G,"Yes*"))</f>
        <v/>
      </c>
      <c r="G122" s="11" t="str">
        <f aca="false">IF(A122="","",'Profile &amp; Targets'!$B$24)</f>
        <v/>
      </c>
      <c r="H122" s="11" t="str">
        <f aca="false">IF(A122="","",'Profile &amp; Targets'!$B$25)</f>
        <v/>
      </c>
      <c r="I122" s="11" t="str">
        <f aca="false">IF(A122="","",'Profile &amp; Targets'!$B$27)</f>
        <v/>
      </c>
      <c r="J122" s="11" t="str">
        <f aca="false">IF(A122="","",'Profile &amp; Targets'!$B$26)</f>
        <v/>
      </c>
      <c r="K122" s="11" t="str">
        <f aca="false">IF(A122="","",B122-G122)</f>
        <v/>
      </c>
      <c r="L122" s="11" t="str">
        <f aca="false">IF(A122="","",C122-H122)</f>
        <v/>
      </c>
      <c r="M122" s="11" t="str">
        <f aca="false">IF(A122="","",D122-I122)</f>
        <v/>
      </c>
      <c r="N122" s="11" t="str">
        <f aca="false">IF(A122="","",E122-J122)</f>
        <v/>
      </c>
    </row>
    <row r="123" customFormat="false" ht="15" hidden="false" customHeight="true" outlineLevel="0" collapsed="false">
      <c r="A123" s="10"/>
      <c r="B123" s="11" t="str">
        <f aca="false">IF(A123="","",SUMIFS('Food Log'!C:C,'Food Log'!A:A,A123))</f>
        <v/>
      </c>
      <c r="C123" s="11" t="str">
        <f aca="false">IF(A123="","",SUMIFS('Food Log'!D:D,'Food Log'!A:A,A123))</f>
        <v/>
      </c>
      <c r="D123" s="11" t="str">
        <f aca="false">IF(A123="","",SUMIFS('Food Log'!E:E,'Food Log'!A:A,A123))</f>
        <v/>
      </c>
      <c r="E123" s="11" t="str">
        <f aca="false">IF(A123="","",SUMIFS('Food Log'!F:F,'Food Log'!A:A,A123))</f>
        <v/>
      </c>
      <c r="F123" s="11" t="str">
        <f aca="false">IF(A123="","",SUMIFS('Food Log'!C:C,'Food Log'!A:A,A123,'Food Log'!G:G,"Yes*"))</f>
        <v/>
      </c>
      <c r="G123" s="11" t="str">
        <f aca="false">IF(A123="","",'Profile &amp; Targets'!$B$24)</f>
        <v/>
      </c>
      <c r="H123" s="11" t="str">
        <f aca="false">IF(A123="","",'Profile &amp; Targets'!$B$25)</f>
        <v/>
      </c>
      <c r="I123" s="11" t="str">
        <f aca="false">IF(A123="","",'Profile &amp; Targets'!$B$27)</f>
        <v/>
      </c>
      <c r="J123" s="11" t="str">
        <f aca="false">IF(A123="","",'Profile &amp; Targets'!$B$26)</f>
        <v/>
      </c>
      <c r="K123" s="11" t="str">
        <f aca="false">IF(A123="","",B123-G123)</f>
        <v/>
      </c>
      <c r="L123" s="11" t="str">
        <f aca="false">IF(A123="","",C123-H123)</f>
        <v/>
      </c>
      <c r="M123" s="11" t="str">
        <f aca="false">IF(A123="","",D123-I123)</f>
        <v/>
      </c>
      <c r="N123" s="11" t="str">
        <f aca="false">IF(A123="","",E123-J123)</f>
        <v/>
      </c>
    </row>
    <row r="124" customFormat="false" ht="15" hidden="false" customHeight="true" outlineLevel="0" collapsed="false">
      <c r="A124" s="10"/>
      <c r="B124" s="11" t="str">
        <f aca="false">IF(A124="","",SUMIFS('Food Log'!C:C,'Food Log'!A:A,A124))</f>
        <v/>
      </c>
      <c r="C124" s="11" t="str">
        <f aca="false">IF(A124="","",SUMIFS('Food Log'!D:D,'Food Log'!A:A,A124))</f>
        <v/>
      </c>
      <c r="D124" s="11" t="str">
        <f aca="false">IF(A124="","",SUMIFS('Food Log'!E:E,'Food Log'!A:A,A124))</f>
        <v/>
      </c>
      <c r="E124" s="11" t="str">
        <f aca="false">IF(A124="","",SUMIFS('Food Log'!F:F,'Food Log'!A:A,A124))</f>
        <v/>
      </c>
      <c r="F124" s="11" t="str">
        <f aca="false">IF(A124="","",SUMIFS('Food Log'!C:C,'Food Log'!A:A,A124,'Food Log'!G:G,"Yes*"))</f>
        <v/>
      </c>
      <c r="G124" s="11" t="str">
        <f aca="false">IF(A124="","",'Profile &amp; Targets'!$B$24)</f>
        <v/>
      </c>
      <c r="H124" s="11" t="str">
        <f aca="false">IF(A124="","",'Profile &amp; Targets'!$B$25)</f>
        <v/>
      </c>
      <c r="I124" s="11" t="str">
        <f aca="false">IF(A124="","",'Profile &amp; Targets'!$B$27)</f>
        <v/>
      </c>
      <c r="J124" s="11" t="str">
        <f aca="false">IF(A124="","",'Profile &amp; Targets'!$B$26)</f>
        <v/>
      </c>
      <c r="K124" s="11" t="str">
        <f aca="false">IF(A124="","",B124-G124)</f>
        <v/>
      </c>
      <c r="L124" s="11" t="str">
        <f aca="false">IF(A124="","",C124-H124)</f>
        <v/>
      </c>
      <c r="M124" s="11" t="str">
        <f aca="false">IF(A124="","",D124-I124)</f>
        <v/>
      </c>
      <c r="N124" s="11" t="str">
        <f aca="false">IF(A124="","",E124-J124)</f>
        <v/>
      </c>
    </row>
    <row r="125" customFormat="false" ht="15" hidden="false" customHeight="true" outlineLevel="0" collapsed="false">
      <c r="A125" s="10"/>
      <c r="B125" s="11" t="str">
        <f aca="false">IF(A125="","",SUMIFS('Food Log'!C:C,'Food Log'!A:A,A125))</f>
        <v/>
      </c>
      <c r="C125" s="11" t="str">
        <f aca="false">IF(A125="","",SUMIFS('Food Log'!D:D,'Food Log'!A:A,A125))</f>
        <v/>
      </c>
      <c r="D125" s="11" t="str">
        <f aca="false">IF(A125="","",SUMIFS('Food Log'!E:E,'Food Log'!A:A,A125))</f>
        <v/>
      </c>
      <c r="E125" s="11" t="str">
        <f aca="false">IF(A125="","",SUMIFS('Food Log'!F:F,'Food Log'!A:A,A125))</f>
        <v/>
      </c>
      <c r="F125" s="11" t="str">
        <f aca="false">IF(A125="","",SUMIFS('Food Log'!C:C,'Food Log'!A:A,A125,'Food Log'!G:G,"Yes*"))</f>
        <v/>
      </c>
      <c r="G125" s="11" t="str">
        <f aca="false">IF(A125="","",'Profile &amp; Targets'!$B$24)</f>
        <v/>
      </c>
      <c r="H125" s="11" t="str">
        <f aca="false">IF(A125="","",'Profile &amp; Targets'!$B$25)</f>
        <v/>
      </c>
      <c r="I125" s="11" t="str">
        <f aca="false">IF(A125="","",'Profile &amp; Targets'!$B$27)</f>
        <v/>
      </c>
      <c r="J125" s="11" t="str">
        <f aca="false">IF(A125="","",'Profile &amp; Targets'!$B$26)</f>
        <v/>
      </c>
      <c r="K125" s="11" t="str">
        <f aca="false">IF(A125="","",B125-G125)</f>
        <v/>
      </c>
      <c r="L125" s="11" t="str">
        <f aca="false">IF(A125="","",C125-H125)</f>
        <v/>
      </c>
      <c r="M125" s="11" t="str">
        <f aca="false">IF(A125="","",D125-I125)</f>
        <v/>
      </c>
      <c r="N125" s="11" t="str">
        <f aca="false">IF(A125="","",E125-J125)</f>
        <v/>
      </c>
    </row>
    <row r="126" customFormat="false" ht="15" hidden="false" customHeight="true" outlineLevel="0" collapsed="false">
      <c r="A126" s="10"/>
      <c r="B126" s="11" t="str">
        <f aca="false">IF(A126="","",SUMIFS('Food Log'!C:C,'Food Log'!A:A,A126))</f>
        <v/>
      </c>
      <c r="C126" s="11" t="str">
        <f aca="false">IF(A126="","",SUMIFS('Food Log'!D:D,'Food Log'!A:A,A126))</f>
        <v/>
      </c>
      <c r="D126" s="11" t="str">
        <f aca="false">IF(A126="","",SUMIFS('Food Log'!E:E,'Food Log'!A:A,A126))</f>
        <v/>
      </c>
      <c r="E126" s="11" t="str">
        <f aca="false">IF(A126="","",SUMIFS('Food Log'!F:F,'Food Log'!A:A,A126))</f>
        <v/>
      </c>
      <c r="F126" s="11" t="str">
        <f aca="false">IF(A126="","",SUMIFS('Food Log'!C:C,'Food Log'!A:A,A126,'Food Log'!G:G,"Yes*"))</f>
        <v/>
      </c>
      <c r="G126" s="11" t="str">
        <f aca="false">IF(A126="","",'Profile &amp; Targets'!$B$24)</f>
        <v/>
      </c>
      <c r="H126" s="11" t="str">
        <f aca="false">IF(A126="","",'Profile &amp; Targets'!$B$25)</f>
        <v/>
      </c>
      <c r="I126" s="11" t="str">
        <f aca="false">IF(A126="","",'Profile &amp; Targets'!$B$27)</f>
        <v/>
      </c>
      <c r="J126" s="11" t="str">
        <f aca="false">IF(A126="","",'Profile &amp; Targets'!$B$26)</f>
        <v/>
      </c>
      <c r="K126" s="11" t="str">
        <f aca="false">IF(A126="","",B126-G126)</f>
        <v/>
      </c>
      <c r="L126" s="11" t="str">
        <f aca="false">IF(A126="","",C126-H126)</f>
        <v/>
      </c>
      <c r="M126" s="11" t="str">
        <f aca="false">IF(A126="","",D126-I126)</f>
        <v/>
      </c>
      <c r="N126" s="11" t="str">
        <f aca="false">IF(A126="","",E126-J126)</f>
        <v/>
      </c>
    </row>
    <row r="127" customFormat="false" ht="15" hidden="false" customHeight="true" outlineLevel="0" collapsed="false">
      <c r="A127" s="10"/>
      <c r="B127" s="11" t="str">
        <f aca="false">IF(A127="","",SUMIFS('Food Log'!C:C,'Food Log'!A:A,A127))</f>
        <v/>
      </c>
      <c r="C127" s="11" t="str">
        <f aca="false">IF(A127="","",SUMIFS('Food Log'!D:D,'Food Log'!A:A,A127))</f>
        <v/>
      </c>
      <c r="D127" s="11" t="str">
        <f aca="false">IF(A127="","",SUMIFS('Food Log'!E:E,'Food Log'!A:A,A127))</f>
        <v/>
      </c>
      <c r="E127" s="11" t="str">
        <f aca="false">IF(A127="","",SUMIFS('Food Log'!F:F,'Food Log'!A:A,A127))</f>
        <v/>
      </c>
      <c r="F127" s="11" t="str">
        <f aca="false">IF(A127="","",SUMIFS('Food Log'!C:C,'Food Log'!A:A,A127,'Food Log'!G:G,"Yes*"))</f>
        <v/>
      </c>
      <c r="G127" s="11" t="str">
        <f aca="false">IF(A127="","",'Profile &amp; Targets'!$B$24)</f>
        <v/>
      </c>
      <c r="H127" s="11" t="str">
        <f aca="false">IF(A127="","",'Profile &amp; Targets'!$B$25)</f>
        <v/>
      </c>
      <c r="I127" s="11" t="str">
        <f aca="false">IF(A127="","",'Profile &amp; Targets'!$B$27)</f>
        <v/>
      </c>
      <c r="J127" s="11" t="str">
        <f aca="false">IF(A127="","",'Profile &amp; Targets'!$B$26)</f>
        <v/>
      </c>
      <c r="K127" s="11" t="str">
        <f aca="false">IF(A127="","",B127-G127)</f>
        <v/>
      </c>
      <c r="L127" s="11" t="str">
        <f aca="false">IF(A127="","",C127-H127)</f>
        <v/>
      </c>
      <c r="M127" s="11" t="str">
        <f aca="false">IF(A127="","",D127-I127)</f>
        <v/>
      </c>
      <c r="N127" s="11" t="str">
        <f aca="false">IF(A127="","",E127-J127)</f>
        <v/>
      </c>
    </row>
    <row r="128" customFormat="false" ht="15" hidden="false" customHeight="true" outlineLevel="0" collapsed="false">
      <c r="A128" s="10"/>
      <c r="B128" s="11" t="str">
        <f aca="false">IF(A128="","",SUMIFS('Food Log'!C:C,'Food Log'!A:A,A128))</f>
        <v/>
      </c>
      <c r="C128" s="11" t="str">
        <f aca="false">IF(A128="","",SUMIFS('Food Log'!D:D,'Food Log'!A:A,A128))</f>
        <v/>
      </c>
      <c r="D128" s="11" t="str">
        <f aca="false">IF(A128="","",SUMIFS('Food Log'!E:E,'Food Log'!A:A,A128))</f>
        <v/>
      </c>
      <c r="E128" s="11" t="str">
        <f aca="false">IF(A128="","",SUMIFS('Food Log'!F:F,'Food Log'!A:A,A128))</f>
        <v/>
      </c>
      <c r="F128" s="11" t="str">
        <f aca="false">IF(A128="","",SUMIFS('Food Log'!C:C,'Food Log'!A:A,A128,'Food Log'!G:G,"Yes*"))</f>
        <v/>
      </c>
      <c r="G128" s="11" t="str">
        <f aca="false">IF(A128="","",'Profile &amp; Targets'!$B$24)</f>
        <v/>
      </c>
      <c r="H128" s="11" t="str">
        <f aca="false">IF(A128="","",'Profile &amp; Targets'!$B$25)</f>
        <v/>
      </c>
      <c r="I128" s="11" t="str">
        <f aca="false">IF(A128="","",'Profile &amp; Targets'!$B$27)</f>
        <v/>
      </c>
      <c r="J128" s="11" t="str">
        <f aca="false">IF(A128="","",'Profile &amp; Targets'!$B$26)</f>
        <v/>
      </c>
      <c r="K128" s="11" t="str">
        <f aca="false">IF(A128="","",B128-G128)</f>
        <v/>
      </c>
      <c r="L128" s="11" t="str">
        <f aca="false">IF(A128="","",C128-H128)</f>
        <v/>
      </c>
      <c r="M128" s="11" t="str">
        <f aca="false">IF(A128="","",D128-I128)</f>
        <v/>
      </c>
      <c r="N128" s="11" t="str">
        <f aca="false">IF(A128="","",E128-J128)</f>
        <v/>
      </c>
    </row>
    <row r="129" customFormat="false" ht="15" hidden="false" customHeight="true" outlineLevel="0" collapsed="false">
      <c r="A129" s="10"/>
      <c r="B129" s="11" t="str">
        <f aca="false">IF(A129="","",SUMIFS('Food Log'!C:C,'Food Log'!A:A,A129))</f>
        <v/>
      </c>
      <c r="C129" s="11" t="str">
        <f aca="false">IF(A129="","",SUMIFS('Food Log'!D:D,'Food Log'!A:A,A129))</f>
        <v/>
      </c>
      <c r="D129" s="11" t="str">
        <f aca="false">IF(A129="","",SUMIFS('Food Log'!E:E,'Food Log'!A:A,A129))</f>
        <v/>
      </c>
      <c r="E129" s="11" t="str">
        <f aca="false">IF(A129="","",SUMIFS('Food Log'!F:F,'Food Log'!A:A,A129))</f>
        <v/>
      </c>
      <c r="F129" s="11" t="str">
        <f aca="false">IF(A129="","",SUMIFS('Food Log'!C:C,'Food Log'!A:A,A129,'Food Log'!G:G,"Yes*"))</f>
        <v/>
      </c>
      <c r="G129" s="11" t="str">
        <f aca="false">IF(A129="","",'Profile &amp; Targets'!$B$24)</f>
        <v/>
      </c>
      <c r="H129" s="11" t="str">
        <f aca="false">IF(A129="","",'Profile &amp; Targets'!$B$25)</f>
        <v/>
      </c>
      <c r="I129" s="11" t="str">
        <f aca="false">IF(A129="","",'Profile &amp; Targets'!$B$27)</f>
        <v/>
      </c>
      <c r="J129" s="11" t="str">
        <f aca="false">IF(A129="","",'Profile &amp; Targets'!$B$26)</f>
        <v/>
      </c>
      <c r="K129" s="11" t="str">
        <f aca="false">IF(A129="","",B129-G129)</f>
        <v/>
      </c>
      <c r="L129" s="11" t="str">
        <f aca="false">IF(A129="","",C129-H129)</f>
        <v/>
      </c>
      <c r="M129" s="11" t="str">
        <f aca="false">IF(A129="","",D129-I129)</f>
        <v/>
      </c>
      <c r="N129" s="11" t="str">
        <f aca="false">IF(A129="","",E129-J129)</f>
        <v/>
      </c>
    </row>
    <row r="130" customFormat="false" ht="15" hidden="false" customHeight="true" outlineLevel="0" collapsed="false">
      <c r="A130" s="10"/>
      <c r="B130" s="11" t="str">
        <f aca="false">IF(A130="","",SUMIFS('Food Log'!C:C,'Food Log'!A:A,A130))</f>
        <v/>
      </c>
      <c r="C130" s="11" t="str">
        <f aca="false">IF(A130="","",SUMIFS('Food Log'!D:D,'Food Log'!A:A,A130))</f>
        <v/>
      </c>
      <c r="D130" s="11" t="str">
        <f aca="false">IF(A130="","",SUMIFS('Food Log'!E:E,'Food Log'!A:A,A130))</f>
        <v/>
      </c>
      <c r="E130" s="11" t="str">
        <f aca="false">IF(A130="","",SUMIFS('Food Log'!F:F,'Food Log'!A:A,A130))</f>
        <v/>
      </c>
      <c r="F130" s="11" t="str">
        <f aca="false">IF(A130="","",SUMIFS('Food Log'!C:C,'Food Log'!A:A,A130,'Food Log'!G:G,"Yes*"))</f>
        <v/>
      </c>
      <c r="G130" s="11" t="str">
        <f aca="false">IF(A130="","",'Profile &amp; Targets'!$B$24)</f>
        <v/>
      </c>
      <c r="H130" s="11" t="str">
        <f aca="false">IF(A130="","",'Profile &amp; Targets'!$B$25)</f>
        <v/>
      </c>
      <c r="I130" s="11" t="str">
        <f aca="false">IF(A130="","",'Profile &amp; Targets'!$B$27)</f>
        <v/>
      </c>
      <c r="J130" s="11" t="str">
        <f aca="false">IF(A130="","",'Profile &amp; Targets'!$B$26)</f>
        <v/>
      </c>
      <c r="K130" s="11" t="str">
        <f aca="false">IF(A130="","",B130-G130)</f>
        <v/>
      </c>
      <c r="L130" s="11" t="str">
        <f aca="false">IF(A130="","",C130-H130)</f>
        <v/>
      </c>
      <c r="M130" s="11" t="str">
        <f aca="false">IF(A130="","",D130-I130)</f>
        <v/>
      </c>
      <c r="N130" s="11" t="str">
        <f aca="false">IF(A130="","",E130-J130)</f>
        <v/>
      </c>
    </row>
    <row r="131" customFormat="false" ht="15" hidden="false" customHeight="true" outlineLevel="0" collapsed="false">
      <c r="A131" s="10"/>
      <c r="B131" s="11" t="str">
        <f aca="false">IF(A131="","",SUMIFS('Food Log'!C:C,'Food Log'!A:A,A131))</f>
        <v/>
      </c>
      <c r="C131" s="11" t="str">
        <f aca="false">IF(A131="","",SUMIFS('Food Log'!D:D,'Food Log'!A:A,A131))</f>
        <v/>
      </c>
      <c r="D131" s="11" t="str">
        <f aca="false">IF(A131="","",SUMIFS('Food Log'!E:E,'Food Log'!A:A,A131))</f>
        <v/>
      </c>
      <c r="E131" s="11" t="str">
        <f aca="false">IF(A131="","",SUMIFS('Food Log'!F:F,'Food Log'!A:A,A131))</f>
        <v/>
      </c>
      <c r="F131" s="11" t="str">
        <f aca="false">IF(A131="","",SUMIFS('Food Log'!C:C,'Food Log'!A:A,A131,'Food Log'!G:G,"Yes*"))</f>
        <v/>
      </c>
      <c r="G131" s="11" t="str">
        <f aca="false">IF(A131="","",'Profile &amp; Targets'!$B$24)</f>
        <v/>
      </c>
      <c r="H131" s="11" t="str">
        <f aca="false">IF(A131="","",'Profile &amp; Targets'!$B$25)</f>
        <v/>
      </c>
      <c r="I131" s="11" t="str">
        <f aca="false">IF(A131="","",'Profile &amp; Targets'!$B$27)</f>
        <v/>
      </c>
      <c r="J131" s="11" t="str">
        <f aca="false">IF(A131="","",'Profile &amp; Targets'!$B$26)</f>
        <v/>
      </c>
      <c r="K131" s="11" t="str">
        <f aca="false">IF(A131="","",B131-G131)</f>
        <v/>
      </c>
      <c r="L131" s="11" t="str">
        <f aca="false">IF(A131="","",C131-H131)</f>
        <v/>
      </c>
      <c r="M131" s="11" t="str">
        <f aca="false">IF(A131="","",D131-I131)</f>
        <v/>
      </c>
      <c r="N131" s="11" t="str">
        <f aca="false">IF(A131="","",E131-J131)</f>
        <v/>
      </c>
    </row>
    <row r="132" customFormat="false" ht="15" hidden="false" customHeight="true" outlineLevel="0" collapsed="false">
      <c r="A132" s="10"/>
      <c r="B132" s="11" t="str">
        <f aca="false">IF(A132="","",SUMIFS('Food Log'!C:C,'Food Log'!A:A,A132))</f>
        <v/>
      </c>
      <c r="C132" s="11" t="str">
        <f aca="false">IF(A132="","",SUMIFS('Food Log'!D:D,'Food Log'!A:A,A132))</f>
        <v/>
      </c>
      <c r="D132" s="11" t="str">
        <f aca="false">IF(A132="","",SUMIFS('Food Log'!E:E,'Food Log'!A:A,A132))</f>
        <v/>
      </c>
      <c r="E132" s="11" t="str">
        <f aca="false">IF(A132="","",SUMIFS('Food Log'!F:F,'Food Log'!A:A,A132))</f>
        <v/>
      </c>
      <c r="F132" s="11" t="str">
        <f aca="false">IF(A132="","",SUMIFS('Food Log'!C:C,'Food Log'!A:A,A132,'Food Log'!G:G,"Yes*"))</f>
        <v/>
      </c>
      <c r="G132" s="11" t="str">
        <f aca="false">IF(A132="","",'Profile &amp; Targets'!$B$24)</f>
        <v/>
      </c>
      <c r="H132" s="11" t="str">
        <f aca="false">IF(A132="","",'Profile &amp; Targets'!$B$25)</f>
        <v/>
      </c>
      <c r="I132" s="11" t="str">
        <f aca="false">IF(A132="","",'Profile &amp; Targets'!$B$27)</f>
        <v/>
      </c>
      <c r="J132" s="11" t="str">
        <f aca="false">IF(A132="","",'Profile &amp; Targets'!$B$26)</f>
        <v/>
      </c>
      <c r="K132" s="11" t="str">
        <f aca="false">IF(A132="","",B132-G132)</f>
        <v/>
      </c>
      <c r="L132" s="11" t="str">
        <f aca="false">IF(A132="","",C132-H132)</f>
        <v/>
      </c>
      <c r="M132" s="11" t="str">
        <f aca="false">IF(A132="","",D132-I132)</f>
        <v/>
      </c>
      <c r="N132" s="11" t="str">
        <f aca="false">IF(A132="","",E132-J132)</f>
        <v/>
      </c>
    </row>
    <row r="133" customFormat="false" ht="15" hidden="false" customHeight="true" outlineLevel="0" collapsed="false">
      <c r="A133" s="10"/>
      <c r="B133" s="11" t="str">
        <f aca="false">IF(A133="","",SUMIFS('Food Log'!C:C,'Food Log'!A:A,A133))</f>
        <v/>
      </c>
      <c r="C133" s="11" t="str">
        <f aca="false">IF(A133="","",SUMIFS('Food Log'!D:D,'Food Log'!A:A,A133))</f>
        <v/>
      </c>
      <c r="D133" s="11" t="str">
        <f aca="false">IF(A133="","",SUMIFS('Food Log'!E:E,'Food Log'!A:A,A133))</f>
        <v/>
      </c>
      <c r="E133" s="11" t="str">
        <f aca="false">IF(A133="","",SUMIFS('Food Log'!F:F,'Food Log'!A:A,A133))</f>
        <v/>
      </c>
      <c r="F133" s="11" t="str">
        <f aca="false">IF(A133="","",SUMIFS('Food Log'!C:C,'Food Log'!A:A,A133,'Food Log'!G:G,"Yes*"))</f>
        <v/>
      </c>
      <c r="G133" s="11" t="str">
        <f aca="false">IF(A133="","",'Profile &amp; Targets'!$B$24)</f>
        <v/>
      </c>
      <c r="H133" s="11" t="str">
        <f aca="false">IF(A133="","",'Profile &amp; Targets'!$B$25)</f>
        <v/>
      </c>
      <c r="I133" s="11" t="str">
        <f aca="false">IF(A133="","",'Profile &amp; Targets'!$B$27)</f>
        <v/>
      </c>
      <c r="J133" s="11" t="str">
        <f aca="false">IF(A133="","",'Profile &amp; Targets'!$B$26)</f>
        <v/>
      </c>
      <c r="K133" s="11" t="str">
        <f aca="false">IF(A133="","",B133-G133)</f>
        <v/>
      </c>
      <c r="L133" s="11" t="str">
        <f aca="false">IF(A133="","",C133-H133)</f>
        <v/>
      </c>
      <c r="M133" s="11" t="str">
        <f aca="false">IF(A133="","",D133-I133)</f>
        <v/>
      </c>
      <c r="N133" s="11" t="str">
        <f aca="false">IF(A133="","",E133-J133)</f>
        <v/>
      </c>
    </row>
    <row r="134" customFormat="false" ht="15" hidden="false" customHeight="true" outlineLevel="0" collapsed="false">
      <c r="A134" s="10"/>
      <c r="B134" s="11" t="str">
        <f aca="false">IF(A134="","",SUMIFS('Food Log'!C:C,'Food Log'!A:A,A134))</f>
        <v/>
      </c>
      <c r="C134" s="11" t="str">
        <f aca="false">IF(A134="","",SUMIFS('Food Log'!D:D,'Food Log'!A:A,A134))</f>
        <v/>
      </c>
      <c r="D134" s="11" t="str">
        <f aca="false">IF(A134="","",SUMIFS('Food Log'!E:E,'Food Log'!A:A,A134))</f>
        <v/>
      </c>
      <c r="E134" s="11" t="str">
        <f aca="false">IF(A134="","",SUMIFS('Food Log'!F:F,'Food Log'!A:A,A134))</f>
        <v/>
      </c>
      <c r="F134" s="11" t="str">
        <f aca="false">IF(A134="","",SUMIFS('Food Log'!C:C,'Food Log'!A:A,A134,'Food Log'!G:G,"Yes*"))</f>
        <v/>
      </c>
      <c r="G134" s="11" t="str">
        <f aca="false">IF(A134="","",'Profile &amp; Targets'!$B$24)</f>
        <v/>
      </c>
      <c r="H134" s="11" t="str">
        <f aca="false">IF(A134="","",'Profile &amp; Targets'!$B$25)</f>
        <v/>
      </c>
      <c r="I134" s="11" t="str">
        <f aca="false">IF(A134="","",'Profile &amp; Targets'!$B$27)</f>
        <v/>
      </c>
      <c r="J134" s="11" t="str">
        <f aca="false">IF(A134="","",'Profile &amp; Targets'!$B$26)</f>
        <v/>
      </c>
      <c r="K134" s="11" t="str">
        <f aca="false">IF(A134="","",B134-G134)</f>
        <v/>
      </c>
      <c r="L134" s="11" t="str">
        <f aca="false">IF(A134="","",C134-H134)</f>
        <v/>
      </c>
      <c r="M134" s="11" t="str">
        <f aca="false">IF(A134="","",D134-I134)</f>
        <v/>
      </c>
      <c r="N134" s="11" t="str">
        <f aca="false">IF(A134="","",E134-J134)</f>
        <v/>
      </c>
    </row>
    <row r="135" customFormat="false" ht="15" hidden="false" customHeight="true" outlineLevel="0" collapsed="false">
      <c r="A135" s="10"/>
      <c r="B135" s="11" t="str">
        <f aca="false">IF(A135="","",SUMIFS('Food Log'!C:C,'Food Log'!A:A,A135))</f>
        <v/>
      </c>
      <c r="C135" s="11" t="str">
        <f aca="false">IF(A135="","",SUMIFS('Food Log'!D:D,'Food Log'!A:A,A135))</f>
        <v/>
      </c>
      <c r="D135" s="11" t="str">
        <f aca="false">IF(A135="","",SUMIFS('Food Log'!E:E,'Food Log'!A:A,A135))</f>
        <v/>
      </c>
      <c r="E135" s="11" t="str">
        <f aca="false">IF(A135="","",SUMIFS('Food Log'!F:F,'Food Log'!A:A,A135))</f>
        <v/>
      </c>
      <c r="F135" s="11" t="str">
        <f aca="false">IF(A135="","",SUMIFS('Food Log'!C:C,'Food Log'!A:A,A135,'Food Log'!G:G,"Yes*"))</f>
        <v/>
      </c>
      <c r="G135" s="11" t="str">
        <f aca="false">IF(A135="","",'Profile &amp; Targets'!$B$24)</f>
        <v/>
      </c>
      <c r="H135" s="11" t="str">
        <f aca="false">IF(A135="","",'Profile &amp; Targets'!$B$25)</f>
        <v/>
      </c>
      <c r="I135" s="11" t="str">
        <f aca="false">IF(A135="","",'Profile &amp; Targets'!$B$27)</f>
        <v/>
      </c>
      <c r="J135" s="11" t="str">
        <f aca="false">IF(A135="","",'Profile &amp; Targets'!$B$26)</f>
        <v/>
      </c>
      <c r="K135" s="11" t="str">
        <f aca="false">IF(A135="","",B135-G135)</f>
        <v/>
      </c>
      <c r="L135" s="11" t="str">
        <f aca="false">IF(A135="","",C135-H135)</f>
        <v/>
      </c>
      <c r="M135" s="11" t="str">
        <f aca="false">IF(A135="","",D135-I135)</f>
        <v/>
      </c>
      <c r="N135" s="11" t="str">
        <f aca="false">IF(A135="","",E135-J135)</f>
        <v/>
      </c>
    </row>
    <row r="136" customFormat="false" ht="15" hidden="false" customHeight="true" outlineLevel="0" collapsed="false">
      <c r="A136" s="10"/>
      <c r="B136" s="11" t="str">
        <f aca="false">IF(A136="","",SUMIFS('Food Log'!C:C,'Food Log'!A:A,A136))</f>
        <v/>
      </c>
      <c r="C136" s="11" t="str">
        <f aca="false">IF(A136="","",SUMIFS('Food Log'!D:D,'Food Log'!A:A,A136))</f>
        <v/>
      </c>
      <c r="D136" s="11" t="str">
        <f aca="false">IF(A136="","",SUMIFS('Food Log'!E:E,'Food Log'!A:A,A136))</f>
        <v/>
      </c>
      <c r="E136" s="11" t="str">
        <f aca="false">IF(A136="","",SUMIFS('Food Log'!F:F,'Food Log'!A:A,A136))</f>
        <v/>
      </c>
      <c r="F136" s="11" t="str">
        <f aca="false">IF(A136="","",SUMIFS('Food Log'!C:C,'Food Log'!A:A,A136,'Food Log'!G:G,"Yes*"))</f>
        <v/>
      </c>
      <c r="G136" s="11" t="str">
        <f aca="false">IF(A136="","",'Profile &amp; Targets'!$B$24)</f>
        <v/>
      </c>
      <c r="H136" s="11" t="str">
        <f aca="false">IF(A136="","",'Profile &amp; Targets'!$B$25)</f>
        <v/>
      </c>
      <c r="I136" s="11" t="str">
        <f aca="false">IF(A136="","",'Profile &amp; Targets'!$B$27)</f>
        <v/>
      </c>
      <c r="J136" s="11" t="str">
        <f aca="false">IF(A136="","",'Profile &amp; Targets'!$B$26)</f>
        <v/>
      </c>
      <c r="K136" s="11" t="str">
        <f aca="false">IF(A136="","",B136-G136)</f>
        <v/>
      </c>
      <c r="L136" s="11" t="str">
        <f aca="false">IF(A136="","",C136-H136)</f>
        <v/>
      </c>
      <c r="M136" s="11" t="str">
        <f aca="false">IF(A136="","",D136-I136)</f>
        <v/>
      </c>
      <c r="N136" s="11" t="str">
        <f aca="false">IF(A136="","",E136-J136)</f>
        <v/>
      </c>
    </row>
    <row r="137" customFormat="false" ht="15" hidden="false" customHeight="true" outlineLevel="0" collapsed="false">
      <c r="A137" s="10"/>
      <c r="B137" s="11" t="str">
        <f aca="false">IF(A137="","",SUMIFS('Food Log'!C:C,'Food Log'!A:A,A137))</f>
        <v/>
      </c>
      <c r="C137" s="11" t="str">
        <f aca="false">IF(A137="","",SUMIFS('Food Log'!D:D,'Food Log'!A:A,A137))</f>
        <v/>
      </c>
      <c r="D137" s="11" t="str">
        <f aca="false">IF(A137="","",SUMIFS('Food Log'!E:E,'Food Log'!A:A,A137))</f>
        <v/>
      </c>
      <c r="E137" s="11" t="str">
        <f aca="false">IF(A137="","",SUMIFS('Food Log'!F:F,'Food Log'!A:A,A137))</f>
        <v/>
      </c>
      <c r="F137" s="11" t="str">
        <f aca="false">IF(A137="","",SUMIFS('Food Log'!C:C,'Food Log'!A:A,A137,'Food Log'!G:G,"Yes*"))</f>
        <v/>
      </c>
      <c r="G137" s="11" t="str">
        <f aca="false">IF(A137="","",'Profile &amp; Targets'!$B$24)</f>
        <v/>
      </c>
      <c r="H137" s="11" t="str">
        <f aca="false">IF(A137="","",'Profile &amp; Targets'!$B$25)</f>
        <v/>
      </c>
      <c r="I137" s="11" t="str">
        <f aca="false">IF(A137="","",'Profile &amp; Targets'!$B$27)</f>
        <v/>
      </c>
      <c r="J137" s="11" t="str">
        <f aca="false">IF(A137="","",'Profile &amp; Targets'!$B$26)</f>
        <v/>
      </c>
      <c r="K137" s="11" t="str">
        <f aca="false">IF(A137="","",B137-G137)</f>
        <v/>
      </c>
      <c r="L137" s="11" t="str">
        <f aca="false">IF(A137="","",C137-H137)</f>
        <v/>
      </c>
      <c r="M137" s="11" t="str">
        <f aca="false">IF(A137="","",D137-I137)</f>
        <v/>
      </c>
      <c r="N137" s="11" t="str">
        <f aca="false">IF(A137="","",E137-J137)</f>
        <v/>
      </c>
    </row>
    <row r="138" customFormat="false" ht="15" hidden="false" customHeight="true" outlineLevel="0" collapsed="false">
      <c r="A138" s="10"/>
      <c r="B138" s="11" t="str">
        <f aca="false">IF(A138="","",SUMIFS('Food Log'!C:C,'Food Log'!A:A,A138))</f>
        <v/>
      </c>
      <c r="C138" s="11" t="str">
        <f aca="false">IF(A138="","",SUMIFS('Food Log'!D:D,'Food Log'!A:A,A138))</f>
        <v/>
      </c>
      <c r="D138" s="11" t="str">
        <f aca="false">IF(A138="","",SUMIFS('Food Log'!E:E,'Food Log'!A:A,A138))</f>
        <v/>
      </c>
      <c r="E138" s="11" t="str">
        <f aca="false">IF(A138="","",SUMIFS('Food Log'!F:F,'Food Log'!A:A,A138))</f>
        <v/>
      </c>
      <c r="F138" s="11" t="str">
        <f aca="false">IF(A138="","",SUMIFS('Food Log'!C:C,'Food Log'!A:A,A138,'Food Log'!G:G,"Yes*"))</f>
        <v/>
      </c>
      <c r="G138" s="11" t="str">
        <f aca="false">IF(A138="","",'Profile &amp; Targets'!$B$24)</f>
        <v/>
      </c>
      <c r="H138" s="11" t="str">
        <f aca="false">IF(A138="","",'Profile &amp; Targets'!$B$25)</f>
        <v/>
      </c>
      <c r="I138" s="11" t="str">
        <f aca="false">IF(A138="","",'Profile &amp; Targets'!$B$27)</f>
        <v/>
      </c>
      <c r="J138" s="11" t="str">
        <f aca="false">IF(A138="","",'Profile &amp; Targets'!$B$26)</f>
        <v/>
      </c>
      <c r="K138" s="11" t="str">
        <f aca="false">IF(A138="","",B138-G138)</f>
        <v/>
      </c>
      <c r="L138" s="11" t="str">
        <f aca="false">IF(A138="","",C138-H138)</f>
        <v/>
      </c>
      <c r="M138" s="11" t="str">
        <f aca="false">IF(A138="","",D138-I138)</f>
        <v/>
      </c>
      <c r="N138" s="11" t="str">
        <f aca="false">IF(A138="","",E138-J138)</f>
        <v/>
      </c>
    </row>
    <row r="139" customFormat="false" ht="15" hidden="false" customHeight="true" outlineLevel="0" collapsed="false">
      <c r="A139" s="10"/>
      <c r="B139" s="11" t="str">
        <f aca="false">IF(A139="","",SUMIFS('Food Log'!C:C,'Food Log'!A:A,A139))</f>
        <v/>
      </c>
      <c r="C139" s="11" t="str">
        <f aca="false">IF(A139="","",SUMIFS('Food Log'!D:D,'Food Log'!A:A,A139))</f>
        <v/>
      </c>
      <c r="D139" s="11" t="str">
        <f aca="false">IF(A139="","",SUMIFS('Food Log'!E:E,'Food Log'!A:A,A139))</f>
        <v/>
      </c>
      <c r="E139" s="11" t="str">
        <f aca="false">IF(A139="","",SUMIFS('Food Log'!F:F,'Food Log'!A:A,A139))</f>
        <v/>
      </c>
      <c r="F139" s="11" t="str">
        <f aca="false">IF(A139="","",SUMIFS('Food Log'!C:C,'Food Log'!A:A,A139,'Food Log'!G:G,"Yes*"))</f>
        <v/>
      </c>
      <c r="G139" s="11" t="str">
        <f aca="false">IF(A139="","",'Profile &amp; Targets'!$B$24)</f>
        <v/>
      </c>
      <c r="H139" s="11" t="str">
        <f aca="false">IF(A139="","",'Profile &amp; Targets'!$B$25)</f>
        <v/>
      </c>
      <c r="I139" s="11" t="str">
        <f aca="false">IF(A139="","",'Profile &amp; Targets'!$B$27)</f>
        <v/>
      </c>
      <c r="J139" s="11" t="str">
        <f aca="false">IF(A139="","",'Profile &amp; Targets'!$B$26)</f>
        <v/>
      </c>
      <c r="K139" s="11" t="str">
        <f aca="false">IF(A139="","",B139-G139)</f>
        <v/>
      </c>
      <c r="L139" s="11" t="str">
        <f aca="false">IF(A139="","",C139-H139)</f>
        <v/>
      </c>
      <c r="M139" s="11" t="str">
        <f aca="false">IF(A139="","",D139-I139)</f>
        <v/>
      </c>
      <c r="N139" s="11" t="str">
        <f aca="false">IF(A139="","",E139-J139)</f>
        <v/>
      </c>
    </row>
    <row r="140" customFormat="false" ht="15" hidden="false" customHeight="true" outlineLevel="0" collapsed="false">
      <c r="A140" s="10"/>
      <c r="B140" s="11" t="str">
        <f aca="false">IF(A140="","",SUMIFS('Food Log'!C:C,'Food Log'!A:A,A140))</f>
        <v/>
      </c>
      <c r="C140" s="11" t="str">
        <f aca="false">IF(A140="","",SUMIFS('Food Log'!D:D,'Food Log'!A:A,A140))</f>
        <v/>
      </c>
      <c r="D140" s="11" t="str">
        <f aca="false">IF(A140="","",SUMIFS('Food Log'!E:E,'Food Log'!A:A,A140))</f>
        <v/>
      </c>
      <c r="E140" s="11" t="str">
        <f aca="false">IF(A140="","",SUMIFS('Food Log'!F:F,'Food Log'!A:A,A140))</f>
        <v/>
      </c>
      <c r="F140" s="11" t="str">
        <f aca="false">IF(A140="","",SUMIFS('Food Log'!C:C,'Food Log'!A:A,A140,'Food Log'!G:G,"Yes*"))</f>
        <v/>
      </c>
      <c r="G140" s="11" t="str">
        <f aca="false">IF(A140="","",'Profile &amp; Targets'!$B$24)</f>
        <v/>
      </c>
      <c r="H140" s="11" t="str">
        <f aca="false">IF(A140="","",'Profile &amp; Targets'!$B$25)</f>
        <v/>
      </c>
      <c r="I140" s="11" t="str">
        <f aca="false">IF(A140="","",'Profile &amp; Targets'!$B$27)</f>
        <v/>
      </c>
      <c r="J140" s="11" t="str">
        <f aca="false">IF(A140="","",'Profile &amp; Targets'!$B$26)</f>
        <v/>
      </c>
      <c r="K140" s="11" t="str">
        <f aca="false">IF(A140="","",B140-G140)</f>
        <v/>
      </c>
      <c r="L140" s="11" t="str">
        <f aca="false">IF(A140="","",C140-H140)</f>
        <v/>
      </c>
      <c r="M140" s="11" t="str">
        <f aca="false">IF(A140="","",D140-I140)</f>
        <v/>
      </c>
      <c r="N140" s="11" t="str">
        <f aca="false">IF(A140="","",E140-J140)</f>
        <v/>
      </c>
    </row>
    <row r="141" customFormat="false" ht="15" hidden="false" customHeight="true" outlineLevel="0" collapsed="false">
      <c r="A141" s="10"/>
      <c r="B141" s="11" t="str">
        <f aca="false">IF(A141="","",SUMIFS('Food Log'!C:C,'Food Log'!A:A,A141))</f>
        <v/>
      </c>
      <c r="C141" s="11" t="str">
        <f aca="false">IF(A141="","",SUMIFS('Food Log'!D:D,'Food Log'!A:A,A141))</f>
        <v/>
      </c>
      <c r="D141" s="11" t="str">
        <f aca="false">IF(A141="","",SUMIFS('Food Log'!E:E,'Food Log'!A:A,A141))</f>
        <v/>
      </c>
      <c r="E141" s="11" t="str">
        <f aca="false">IF(A141="","",SUMIFS('Food Log'!F:F,'Food Log'!A:A,A141))</f>
        <v/>
      </c>
      <c r="F141" s="11" t="str">
        <f aca="false">IF(A141="","",SUMIFS('Food Log'!C:C,'Food Log'!A:A,A141,'Food Log'!G:G,"Yes*"))</f>
        <v/>
      </c>
      <c r="G141" s="11" t="str">
        <f aca="false">IF(A141="","",'Profile &amp; Targets'!$B$24)</f>
        <v/>
      </c>
      <c r="H141" s="11" t="str">
        <f aca="false">IF(A141="","",'Profile &amp; Targets'!$B$25)</f>
        <v/>
      </c>
      <c r="I141" s="11" t="str">
        <f aca="false">IF(A141="","",'Profile &amp; Targets'!$B$27)</f>
        <v/>
      </c>
      <c r="J141" s="11" t="str">
        <f aca="false">IF(A141="","",'Profile &amp; Targets'!$B$26)</f>
        <v/>
      </c>
      <c r="K141" s="11" t="str">
        <f aca="false">IF(A141="","",B141-G141)</f>
        <v/>
      </c>
      <c r="L141" s="11" t="str">
        <f aca="false">IF(A141="","",C141-H141)</f>
        <v/>
      </c>
      <c r="M141" s="11" t="str">
        <f aca="false">IF(A141="","",D141-I141)</f>
        <v/>
      </c>
      <c r="N141" s="11" t="str">
        <f aca="false">IF(A141="","",E141-J141)</f>
        <v/>
      </c>
    </row>
    <row r="142" customFormat="false" ht="15" hidden="false" customHeight="true" outlineLevel="0" collapsed="false">
      <c r="A142" s="10"/>
      <c r="B142" s="11" t="str">
        <f aca="false">IF(A142="","",SUMIFS('Food Log'!C:C,'Food Log'!A:A,A142))</f>
        <v/>
      </c>
      <c r="C142" s="11" t="str">
        <f aca="false">IF(A142="","",SUMIFS('Food Log'!D:D,'Food Log'!A:A,A142))</f>
        <v/>
      </c>
      <c r="D142" s="11" t="str">
        <f aca="false">IF(A142="","",SUMIFS('Food Log'!E:E,'Food Log'!A:A,A142))</f>
        <v/>
      </c>
      <c r="E142" s="11" t="str">
        <f aca="false">IF(A142="","",SUMIFS('Food Log'!F:F,'Food Log'!A:A,A142))</f>
        <v/>
      </c>
      <c r="F142" s="11" t="str">
        <f aca="false">IF(A142="","",SUMIFS('Food Log'!C:C,'Food Log'!A:A,A142,'Food Log'!G:G,"Yes*"))</f>
        <v/>
      </c>
      <c r="G142" s="11" t="str">
        <f aca="false">IF(A142="","",'Profile &amp; Targets'!$B$24)</f>
        <v/>
      </c>
      <c r="H142" s="11" t="str">
        <f aca="false">IF(A142="","",'Profile &amp; Targets'!$B$25)</f>
        <v/>
      </c>
      <c r="I142" s="11" t="str">
        <f aca="false">IF(A142="","",'Profile &amp; Targets'!$B$27)</f>
        <v/>
      </c>
      <c r="J142" s="11" t="str">
        <f aca="false">IF(A142="","",'Profile &amp; Targets'!$B$26)</f>
        <v/>
      </c>
      <c r="K142" s="11" t="str">
        <f aca="false">IF(A142="","",B142-G142)</f>
        <v/>
      </c>
      <c r="L142" s="11" t="str">
        <f aca="false">IF(A142="","",C142-H142)</f>
        <v/>
      </c>
      <c r="M142" s="11" t="str">
        <f aca="false">IF(A142="","",D142-I142)</f>
        <v/>
      </c>
      <c r="N142" s="11" t="str">
        <f aca="false">IF(A142="","",E142-J142)</f>
        <v/>
      </c>
    </row>
    <row r="143" customFormat="false" ht="15" hidden="false" customHeight="true" outlineLevel="0" collapsed="false">
      <c r="A143" s="10"/>
      <c r="B143" s="11" t="str">
        <f aca="false">IF(A143="","",SUMIFS('Food Log'!C:C,'Food Log'!A:A,A143))</f>
        <v/>
      </c>
      <c r="C143" s="11" t="str">
        <f aca="false">IF(A143="","",SUMIFS('Food Log'!D:D,'Food Log'!A:A,A143))</f>
        <v/>
      </c>
      <c r="D143" s="11" t="str">
        <f aca="false">IF(A143="","",SUMIFS('Food Log'!E:E,'Food Log'!A:A,A143))</f>
        <v/>
      </c>
      <c r="E143" s="11" t="str">
        <f aca="false">IF(A143="","",SUMIFS('Food Log'!F:F,'Food Log'!A:A,A143))</f>
        <v/>
      </c>
      <c r="F143" s="11" t="str">
        <f aca="false">IF(A143="","",SUMIFS('Food Log'!C:C,'Food Log'!A:A,A143,'Food Log'!G:G,"Yes*"))</f>
        <v/>
      </c>
      <c r="G143" s="11" t="str">
        <f aca="false">IF(A143="","",'Profile &amp; Targets'!$B$24)</f>
        <v/>
      </c>
      <c r="H143" s="11" t="str">
        <f aca="false">IF(A143="","",'Profile &amp; Targets'!$B$25)</f>
        <v/>
      </c>
      <c r="I143" s="11" t="str">
        <f aca="false">IF(A143="","",'Profile &amp; Targets'!$B$27)</f>
        <v/>
      </c>
      <c r="J143" s="11" t="str">
        <f aca="false">IF(A143="","",'Profile &amp; Targets'!$B$26)</f>
        <v/>
      </c>
      <c r="K143" s="11" t="str">
        <f aca="false">IF(A143="","",B143-G143)</f>
        <v/>
      </c>
      <c r="L143" s="11" t="str">
        <f aca="false">IF(A143="","",C143-H143)</f>
        <v/>
      </c>
      <c r="M143" s="11" t="str">
        <f aca="false">IF(A143="","",D143-I143)</f>
        <v/>
      </c>
      <c r="N143" s="11" t="str">
        <f aca="false">IF(A143="","",E143-J143)</f>
        <v/>
      </c>
    </row>
    <row r="144" customFormat="false" ht="15" hidden="false" customHeight="true" outlineLevel="0" collapsed="false">
      <c r="A144" s="10"/>
      <c r="B144" s="11" t="str">
        <f aca="false">IF(A144="","",SUMIFS('Food Log'!C:C,'Food Log'!A:A,A144))</f>
        <v/>
      </c>
      <c r="C144" s="11" t="str">
        <f aca="false">IF(A144="","",SUMIFS('Food Log'!D:D,'Food Log'!A:A,A144))</f>
        <v/>
      </c>
      <c r="D144" s="11" t="str">
        <f aca="false">IF(A144="","",SUMIFS('Food Log'!E:E,'Food Log'!A:A,A144))</f>
        <v/>
      </c>
      <c r="E144" s="11" t="str">
        <f aca="false">IF(A144="","",SUMIFS('Food Log'!F:F,'Food Log'!A:A,A144))</f>
        <v/>
      </c>
      <c r="F144" s="11" t="str">
        <f aca="false">IF(A144="","",SUMIFS('Food Log'!C:C,'Food Log'!A:A,A144,'Food Log'!G:G,"Yes*"))</f>
        <v/>
      </c>
      <c r="G144" s="11" t="str">
        <f aca="false">IF(A144="","",'Profile &amp; Targets'!$B$24)</f>
        <v/>
      </c>
      <c r="H144" s="11" t="str">
        <f aca="false">IF(A144="","",'Profile &amp; Targets'!$B$25)</f>
        <v/>
      </c>
      <c r="I144" s="11" t="str">
        <f aca="false">IF(A144="","",'Profile &amp; Targets'!$B$27)</f>
        <v/>
      </c>
      <c r="J144" s="11" t="str">
        <f aca="false">IF(A144="","",'Profile &amp; Targets'!$B$26)</f>
        <v/>
      </c>
      <c r="K144" s="11" t="str">
        <f aca="false">IF(A144="","",B144-G144)</f>
        <v/>
      </c>
      <c r="L144" s="11" t="str">
        <f aca="false">IF(A144="","",C144-H144)</f>
        <v/>
      </c>
      <c r="M144" s="11" t="str">
        <f aca="false">IF(A144="","",D144-I144)</f>
        <v/>
      </c>
      <c r="N144" s="11" t="str">
        <f aca="false">IF(A144="","",E144-J144)</f>
        <v/>
      </c>
    </row>
    <row r="145" customFormat="false" ht="15" hidden="false" customHeight="true" outlineLevel="0" collapsed="false">
      <c r="A145" s="10"/>
      <c r="B145" s="11" t="str">
        <f aca="false">IF(A145="","",SUMIFS('Food Log'!C:C,'Food Log'!A:A,A145))</f>
        <v/>
      </c>
      <c r="C145" s="11" t="str">
        <f aca="false">IF(A145="","",SUMIFS('Food Log'!D:D,'Food Log'!A:A,A145))</f>
        <v/>
      </c>
      <c r="D145" s="11" t="str">
        <f aca="false">IF(A145="","",SUMIFS('Food Log'!E:E,'Food Log'!A:A,A145))</f>
        <v/>
      </c>
      <c r="E145" s="11" t="str">
        <f aca="false">IF(A145="","",SUMIFS('Food Log'!F:F,'Food Log'!A:A,A145))</f>
        <v/>
      </c>
      <c r="F145" s="11" t="str">
        <f aca="false">IF(A145="","",SUMIFS('Food Log'!C:C,'Food Log'!A:A,A145,'Food Log'!G:G,"Yes*"))</f>
        <v/>
      </c>
      <c r="G145" s="11" t="str">
        <f aca="false">IF(A145="","",'Profile &amp; Targets'!$B$24)</f>
        <v/>
      </c>
      <c r="H145" s="11" t="str">
        <f aca="false">IF(A145="","",'Profile &amp; Targets'!$B$25)</f>
        <v/>
      </c>
      <c r="I145" s="11" t="str">
        <f aca="false">IF(A145="","",'Profile &amp; Targets'!$B$27)</f>
        <v/>
      </c>
      <c r="J145" s="11" t="str">
        <f aca="false">IF(A145="","",'Profile &amp; Targets'!$B$26)</f>
        <v/>
      </c>
      <c r="K145" s="11" t="str">
        <f aca="false">IF(A145="","",B145-G145)</f>
        <v/>
      </c>
      <c r="L145" s="11" t="str">
        <f aca="false">IF(A145="","",C145-H145)</f>
        <v/>
      </c>
      <c r="M145" s="11" t="str">
        <f aca="false">IF(A145="","",D145-I145)</f>
        <v/>
      </c>
      <c r="N145" s="11" t="str">
        <f aca="false">IF(A145="","",E145-J145)</f>
        <v/>
      </c>
    </row>
    <row r="146" customFormat="false" ht="15" hidden="false" customHeight="true" outlineLevel="0" collapsed="false">
      <c r="A146" s="10"/>
      <c r="B146" s="11" t="str">
        <f aca="false">IF(A146="","",SUMIFS('Food Log'!C:C,'Food Log'!A:A,A146))</f>
        <v/>
      </c>
      <c r="C146" s="11" t="str">
        <f aca="false">IF(A146="","",SUMIFS('Food Log'!D:D,'Food Log'!A:A,A146))</f>
        <v/>
      </c>
      <c r="D146" s="11" t="str">
        <f aca="false">IF(A146="","",SUMIFS('Food Log'!E:E,'Food Log'!A:A,A146))</f>
        <v/>
      </c>
      <c r="E146" s="11" t="str">
        <f aca="false">IF(A146="","",SUMIFS('Food Log'!F:F,'Food Log'!A:A,A146))</f>
        <v/>
      </c>
      <c r="F146" s="11" t="str">
        <f aca="false">IF(A146="","",SUMIFS('Food Log'!C:C,'Food Log'!A:A,A146,'Food Log'!G:G,"Yes*"))</f>
        <v/>
      </c>
      <c r="G146" s="11" t="str">
        <f aca="false">IF(A146="","",'Profile &amp; Targets'!$B$24)</f>
        <v/>
      </c>
      <c r="H146" s="11" t="str">
        <f aca="false">IF(A146="","",'Profile &amp; Targets'!$B$25)</f>
        <v/>
      </c>
      <c r="I146" s="11" t="str">
        <f aca="false">IF(A146="","",'Profile &amp; Targets'!$B$27)</f>
        <v/>
      </c>
      <c r="J146" s="11" t="str">
        <f aca="false">IF(A146="","",'Profile &amp; Targets'!$B$26)</f>
        <v/>
      </c>
      <c r="K146" s="11" t="str">
        <f aca="false">IF(A146="","",B146-G146)</f>
        <v/>
      </c>
      <c r="L146" s="11" t="str">
        <f aca="false">IF(A146="","",C146-H146)</f>
        <v/>
      </c>
      <c r="M146" s="11" t="str">
        <f aca="false">IF(A146="","",D146-I146)</f>
        <v/>
      </c>
      <c r="N146" s="11" t="str">
        <f aca="false">IF(A146="","",E146-J146)</f>
        <v/>
      </c>
    </row>
    <row r="147" customFormat="false" ht="15" hidden="false" customHeight="true" outlineLevel="0" collapsed="false">
      <c r="A147" s="10"/>
      <c r="B147" s="11" t="str">
        <f aca="false">IF(A147="","",SUMIFS('Food Log'!C:C,'Food Log'!A:A,A147))</f>
        <v/>
      </c>
      <c r="C147" s="11" t="str">
        <f aca="false">IF(A147="","",SUMIFS('Food Log'!D:D,'Food Log'!A:A,A147))</f>
        <v/>
      </c>
      <c r="D147" s="11" t="str">
        <f aca="false">IF(A147="","",SUMIFS('Food Log'!E:E,'Food Log'!A:A,A147))</f>
        <v/>
      </c>
      <c r="E147" s="11" t="str">
        <f aca="false">IF(A147="","",SUMIFS('Food Log'!F:F,'Food Log'!A:A,A147))</f>
        <v/>
      </c>
      <c r="F147" s="11" t="str">
        <f aca="false">IF(A147="","",SUMIFS('Food Log'!C:C,'Food Log'!A:A,A147,'Food Log'!G:G,"Yes*"))</f>
        <v/>
      </c>
      <c r="G147" s="11" t="str">
        <f aca="false">IF(A147="","",'Profile &amp; Targets'!$B$24)</f>
        <v/>
      </c>
      <c r="H147" s="11" t="str">
        <f aca="false">IF(A147="","",'Profile &amp; Targets'!$B$25)</f>
        <v/>
      </c>
      <c r="I147" s="11" t="str">
        <f aca="false">IF(A147="","",'Profile &amp; Targets'!$B$27)</f>
        <v/>
      </c>
      <c r="J147" s="11" t="str">
        <f aca="false">IF(A147="","",'Profile &amp; Targets'!$B$26)</f>
        <v/>
      </c>
      <c r="K147" s="11" t="str">
        <f aca="false">IF(A147="","",B147-G147)</f>
        <v/>
      </c>
      <c r="L147" s="11" t="str">
        <f aca="false">IF(A147="","",C147-H147)</f>
        <v/>
      </c>
      <c r="M147" s="11" t="str">
        <f aca="false">IF(A147="","",D147-I147)</f>
        <v/>
      </c>
      <c r="N147" s="11" t="str">
        <f aca="false">IF(A147="","",E147-J147)</f>
        <v/>
      </c>
    </row>
    <row r="148" customFormat="false" ht="15" hidden="false" customHeight="true" outlineLevel="0" collapsed="false">
      <c r="A148" s="10"/>
      <c r="B148" s="11" t="str">
        <f aca="false">IF(A148="","",SUMIFS('Food Log'!C:C,'Food Log'!A:A,A148))</f>
        <v/>
      </c>
      <c r="C148" s="11" t="str">
        <f aca="false">IF(A148="","",SUMIFS('Food Log'!D:D,'Food Log'!A:A,A148))</f>
        <v/>
      </c>
      <c r="D148" s="11" t="str">
        <f aca="false">IF(A148="","",SUMIFS('Food Log'!E:E,'Food Log'!A:A,A148))</f>
        <v/>
      </c>
      <c r="E148" s="11" t="str">
        <f aca="false">IF(A148="","",SUMIFS('Food Log'!F:F,'Food Log'!A:A,A148))</f>
        <v/>
      </c>
      <c r="F148" s="11" t="str">
        <f aca="false">IF(A148="","",SUMIFS('Food Log'!C:C,'Food Log'!A:A,A148,'Food Log'!G:G,"Yes*"))</f>
        <v/>
      </c>
      <c r="G148" s="11" t="str">
        <f aca="false">IF(A148="","",'Profile &amp; Targets'!$B$24)</f>
        <v/>
      </c>
      <c r="H148" s="11" t="str">
        <f aca="false">IF(A148="","",'Profile &amp; Targets'!$B$25)</f>
        <v/>
      </c>
      <c r="I148" s="11" t="str">
        <f aca="false">IF(A148="","",'Profile &amp; Targets'!$B$27)</f>
        <v/>
      </c>
      <c r="J148" s="11" t="str">
        <f aca="false">IF(A148="","",'Profile &amp; Targets'!$B$26)</f>
        <v/>
      </c>
      <c r="K148" s="11" t="str">
        <f aca="false">IF(A148="","",B148-G148)</f>
        <v/>
      </c>
      <c r="L148" s="11" t="str">
        <f aca="false">IF(A148="","",C148-H148)</f>
        <v/>
      </c>
      <c r="M148" s="11" t="str">
        <f aca="false">IF(A148="","",D148-I148)</f>
        <v/>
      </c>
      <c r="N148" s="11" t="str">
        <f aca="false">IF(A148="","",E148-J148)</f>
        <v/>
      </c>
    </row>
    <row r="149" customFormat="false" ht="15" hidden="false" customHeight="true" outlineLevel="0" collapsed="false">
      <c r="A149" s="10"/>
      <c r="B149" s="11" t="str">
        <f aca="false">IF(A149="","",SUMIFS('Food Log'!C:C,'Food Log'!A:A,A149))</f>
        <v/>
      </c>
      <c r="C149" s="11" t="str">
        <f aca="false">IF(A149="","",SUMIFS('Food Log'!D:D,'Food Log'!A:A,A149))</f>
        <v/>
      </c>
      <c r="D149" s="11" t="str">
        <f aca="false">IF(A149="","",SUMIFS('Food Log'!E:E,'Food Log'!A:A,A149))</f>
        <v/>
      </c>
      <c r="E149" s="11" t="str">
        <f aca="false">IF(A149="","",SUMIFS('Food Log'!F:F,'Food Log'!A:A,A149))</f>
        <v/>
      </c>
      <c r="F149" s="11" t="str">
        <f aca="false">IF(A149="","",SUMIFS('Food Log'!C:C,'Food Log'!A:A,A149,'Food Log'!G:G,"Yes*"))</f>
        <v/>
      </c>
      <c r="G149" s="11" t="str">
        <f aca="false">IF(A149="","",'Profile &amp; Targets'!$B$24)</f>
        <v/>
      </c>
      <c r="H149" s="11" t="str">
        <f aca="false">IF(A149="","",'Profile &amp; Targets'!$B$25)</f>
        <v/>
      </c>
      <c r="I149" s="11" t="str">
        <f aca="false">IF(A149="","",'Profile &amp; Targets'!$B$27)</f>
        <v/>
      </c>
      <c r="J149" s="11" t="str">
        <f aca="false">IF(A149="","",'Profile &amp; Targets'!$B$26)</f>
        <v/>
      </c>
      <c r="K149" s="11" t="str">
        <f aca="false">IF(A149="","",B149-G149)</f>
        <v/>
      </c>
      <c r="L149" s="11" t="str">
        <f aca="false">IF(A149="","",C149-H149)</f>
        <v/>
      </c>
      <c r="M149" s="11" t="str">
        <f aca="false">IF(A149="","",D149-I149)</f>
        <v/>
      </c>
      <c r="N149" s="11" t="str">
        <f aca="false">IF(A149="","",E149-J149)</f>
        <v/>
      </c>
    </row>
    <row r="150" customFormat="false" ht="15" hidden="false" customHeight="true" outlineLevel="0" collapsed="false">
      <c r="A150" s="10"/>
      <c r="B150" s="11" t="str">
        <f aca="false">IF(A150="","",SUMIFS('Food Log'!C:C,'Food Log'!A:A,A150))</f>
        <v/>
      </c>
      <c r="C150" s="11" t="str">
        <f aca="false">IF(A150="","",SUMIFS('Food Log'!D:D,'Food Log'!A:A,A150))</f>
        <v/>
      </c>
      <c r="D150" s="11" t="str">
        <f aca="false">IF(A150="","",SUMIFS('Food Log'!E:E,'Food Log'!A:A,A150))</f>
        <v/>
      </c>
      <c r="E150" s="11" t="str">
        <f aca="false">IF(A150="","",SUMIFS('Food Log'!F:F,'Food Log'!A:A,A150))</f>
        <v/>
      </c>
      <c r="F150" s="11" t="str">
        <f aca="false">IF(A150="","",SUMIFS('Food Log'!C:C,'Food Log'!A:A,A150,'Food Log'!G:G,"Yes*"))</f>
        <v/>
      </c>
      <c r="G150" s="11" t="str">
        <f aca="false">IF(A150="","",'Profile &amp; Targets'!$B$24)</f>
        <v/>
      </c>
      <c r="H150" s="11" t="str">
        <f aca="false">IF(A150="","",'Profile &amp; Targets'!$B$25)</f>
        <v/>
      </c>
      <c r="I150" s="11" t="str">
        <f aca="false">IF(A150="","",'Profile &amp; Targets'!$B$27)</f>
        <v/>
      </c>
      <c r="J150" s="11" t="str">
        <f aca="false">IF(A150="","",'Profile &amp; Targets'!$B$26)</f>
        <v/>
      </c>
      <c r="K150" s="11" t="str">
        <f aca="false">IF(A150="","",B150-G150)</f>
        <v/>
      </c>
      <c r="L150" s="11" t="str">
        <f aca="false">IF(A150="","",C150-H150)</f>
        <v/>
      </c>
      <c r="M150" s="11" t="str">
        <f aca="false">IF(A150="","",D150-I150)</f>
        <v/>
      </c>
      <c r="N150" s="11" t="str">
        <f aca="false">IF(A150="","",E150-J150)</f>
        <v/>
      </c>
    </row>
    <row r="151" customFormat="false" ht="15" hidden="false" customHeight="true" outlineLevel="0" collapsed="false">
      <c r="A151" s="10"/>
      <c r="B151" s="11" t="str">
        <f aca="false">IF(A151="","",SUMIFS('Food Log'!C:C,'Food Log'!A:A,A151))</f>
        <v/>
      </c>
      <c r="C151" s="11" t="str">
        <f aca="false">IF(A151="","",SUMIFS('Food Log'!D:D,'Food Log'!A:A,A151))</f>
        <v/>
      </c>
      <c r="D151" s="11" t="str">
        <f aca="false">IF(A151="","",SUMIFS('Food Log'!E:E,'Food Log'!A:A,A151))</f>
        <v/>
      </c>
      <c r="E151" s="11" t="str">
        <f aca="false">IF(A151="","",SUMIFS('Food Log'!F:F,'Food Log'!A:A,A151))</f>
        <v/>
      </c>
      <c r="F151" s="11" t="str">
        <f aca="false">IF(A151="","",SUMIFS('Food Log'!C:C,'Food Log'!A:A,A151,'Food Log'!G:G,"Yes*"))</f>
        <v/>
      </c>
      <c r="G151" s="11" t="str">
        <f aca="false">IF(A151="","",'Profile &amp; Targets'!$B$24)</f>
        <v/>
      </c>
      <c r="H151" s="11" t="str">
        <f aca="false">IF(A151="","",'Profile &amp; Targets'!$B$25)</f>
        <v/>
      </c>
      <c r="I151" s="11" t="str">
        <f aca="false">IF(A151="","",'Profile &amp; Targets'!$B$27)</f>
        <v/>
      </c>
      <c r="J151" s="11" t="str">
        <f aca="false">IF(A151="","",'Profile &amp; Targets'!$B$26)</f>
        <v/>
      </c>
      <c r="K151" s="11" t="str">
        <f aca="false">IF(A151="","",B151-G151)</f>
        <v/>
      </c>
      <c r="L151" s="11" t="str">
        <f aca="false">IF(A151="","",C151-H151)</f>
        <v/>
      </c>
      <c r="M151" s="11" t="str">
        <f aca="false">IF(A151="","",D151-I151)</f>
        <v/>
      </c>
      <c r="N151" s="11" t="str">
        <f aca="false">IF(A151="","",E151-J151)</f>
        <v/>
      </c>
    </row>
    <row r="152" customFormat="false" ht="15" hidden="false" customHeight="true" outlineLevel="0" collapsed="false">
      <c r="A152" s="10"/>
      <c r="B152" s="11" t="str">
        <f aca="false">IF(A152="","",SUMIFS('Food Log'!C:C,'Food Log'!A:A,A152))</f>
        <v/>
      </c>
      <c r="C152" s="11" t="str">
        <f aca="false">IF(A152="","",SUMIFS('Food Log'!D:D,'Food Log'!A:A,A152))</f>
        <v/>
      </c>
      <c r="D152" s="11" t="str">
        <f aca="false">IF(A152="","",SUMIFS('Food Log'!E:E,'Food Log'!A:A,A152))</f>
        <v/>
      </c>
      <c r="E152" s="11" t="str">
        <f aca="false">IF(A152="","",SUMIFS('Food Log'!F:F,'Food Log'!A:A,A152))</f>
        <v/>
      </c>
      <c r="F152" s="11" t="str">
        <f aca="false">IF(A152="","",SUMIFS('Food Log'!C:C,'Food Log'!A:A,A152,'Food Log'!G:G,"Yes*"))</f>
        <v/>
      </c>
      <c r="G152" s="11" t="str">
        <f aca="false">IF(A152="","",'Profile &amp; Targets'!$B$24)</f>
        <v/>
      </c>
      <c r="H152" s="11" t="str">
        <f aca="false">IF(A152="","",'Profile &amp; Targets'!$B$25)</f>
        <v/>
      </c>
      <c r="I152" s="11" t="str">
        <f aca="false">IF(A152="","",'Profile &amp; Targets'!$B$27)</f>
        <v/>
      </c>
      <c r="J152" s="11" t="str">
        <f aca="false">IF(A152="","",'Profile &amp; Targets'!$B$26)</f>
        <v/>
      </c>
      <c r="K152" s="11" t="str">
        <f aca="false">IF(A152="","",B152-G152)</f>
        <v/>
      </c>
      <c r="L152" s="11" t="str">
        <f aca="false">IF(A152="","",C152-H152)</f>
        <v/>
      </c>
      <c r="M152" s="11" t="str">
        <f aca="false">IF(A152="","",D152-I152)</f>
        <v/>
      </c>
      <c r="N152" s="11" t="str">
        <f aca="false">IF(A152="","",E152-J152)</f>
        <v/>
      </c>
    </row>
    <row r="153" customFormat="false" ht="15" hidden="false" customHeight="true" outlineLevel="0" collapsed="false">
      <c r="A153" s="10"/>
      <c r="B153" s="11" t="str">
        <f aca="false">IF(A153="","",SUMIFS('Food Log'!C:C,'Food Log'!A:A,A153))</f>
        <v/>
      </c>
      <c r="C153" s="11" t="str">
        <f aca="false">IF(A153="","",SUMIFS('Food Log'!D:D,'Food Log'!A:A,A153))</f>
        <v/>
      </c>
      <c r="D153" s="11" t="str">
        <f aca="false">IF(A153="","",SUMIFS('Food Log'!E:E,'Food Log'!A:A,A153))</f>
        <v/>
      </c>
      <c r="E153" s="11" t="str">
        <f aca="false">IF(A153="","",SUMIFS('Food Log'!F:F,'Food Log'!A:A,A153))</f>
        <v/>
      </c>
      <c r="F153" s="11" t="str">
        <f aca="false">IF(A153="","",SUMIFS('Food Log'!C:C,'Food Log'!A:A,A153,'Food Log'!G:G,"Yes*"))</f>
        <v/>
      </c>
      <c r="G153" s="11" t="str">
        <f aca="false">IF(A153="","",'Profile &amp; Targets'!$B$24)</f>
        <v/>
      </c>
      <c r="H153" s="11" t="str">
        <f aca="false">IF(A153="","",'Profile &amp; Targets'!$B$25)</f>
        <v/>
      </c>
      <c r="I153" s="11" t="str">
        <f aca="false">IF(A153="","",'Profile &amp; Targets'!$B$27)</f>
        <v/>
      </c>
      <c r="J153" s="11" t="str">
        <f aca="false">IF(A153="","",'Profile &amp; Targets'!$B$26)</f>
        <v/>
      </c>
      <c r="K153" s="11" t="str">
        <f aca="false">IF(A153="","",B153-G153)</f>
        <v/>
      </c>
      <c r="L153" s="11" t="str">
        <f aca="false">IF(A153="","",C153-H153)</f>
        <v/>
      </c>
      <c r="M153" s="11" t="str">
        <f aca="false">IF(A153="","",D153-I153)</f>
        <v/>
      </c>
      <c r="N153" s="11" t="str">
        <f aca="false">IF(A153="","",E153-J153)</f>
        <v/>
      </c>
    </row>
    <row r="154" customFormat="false" ht="15" hidden="false" customHeight="true" outlineLevel="0" collapsed="false">
      <c r="A154" s="10"/>
      <c r="B154" s="11" t="str">
        <f aca="false">IF(A154="","",SUMIFS('Food Log'!C:C,'Food Log'!A:A,A154))</f>
        <v/>
      </c>
      <c r="C154" s="11" t="str">
        <f aca="false">IF(A154="","",SUMIFS('Food Log'!D:D,'Food Log'!A:A,A154))</f>
        <v/>
      </c>
      <c r="D154" s="11" t="str">
        <f aca="false">IF(A154="","",SUMIFS('Food Log'!E:E,'Food Log'!A:A,A154))</f>
        <v/>
      </c>
      <c r="E154" s="11" t="str">
        <f aca="false">IF(A154="","",SUMIFS('Food Log'!F:F,'Food Log'!A:A,A154))</f>
        <v/>
      </c>
      <c r="F154" s="11" t="str">
        <f aca="false">IF(A154="","",SUMIFS('Food Log'!C:C,'Food Log'!A:A,A154,'Food Log'!G:G,"Yes*"))</f>
        <v/>
      </c>
      <c r="G154" s="11" t="str">
        <f aca="false">IF(A154="","",'Profile &amp; Targets'!$B$24)</f>
        <v/>
      </c>
      <c r="H154" s="11" t="str">
        <f aca="false">IF(A154="","",'Profile &amp; Targets'!$B$25)</f>
        <v/>
      </c>
      <c r="I154" s="11" t="str">
        <f aca="false">IF(A154="","",'Profile &amp; Targets'!$B$27)</f>
        <v/>
      </c>
      <c r="J154" s="11" t="str">
        <f aca="false">IF(A154="","",'Profile &amp; Targets'!$B$26)</f>
        <v/>
      </c>
      <c r="K154" s="11" t="str">
        <f aca="false">IF(A154="","",B154-G154)</f>
        <v/>
      </c>
      <c r="L154" s="11" t="str">
        <f aca="false">IF(A154="","",C154-H154)</f>
        <v/>
      </c>
      <c r="M154" s="11" t="str">
        <f aca="false">IF(A154="","",D154-I154)</f>
        <v/>
      </c>
      <c r="N154" s="11" t="str">
        <f aca="false">IF(A154="","",E154-J154)</f>
        <v/>
      </c>
    </row>
    <row r="155" customFormat="false" ht="15" hidden="false" customHeight="true" outlineLevel="0" collapsed="false">
      <c r="A155" s="10"/>
      <c r="B155" s="11" t="str">
        <f aca="false">IF(A155="","",SUMIFS('Food Log'!C:C,'Food Log'!A:A,A155))</f>
        <v/>
      </c>
      <c r="C155" s="11" t="str">
        <f aca="false">IF(A155="","",SUMIFS('Food Log'!D:D,'Food Log'!A:A,A155))</f>
        <v/>
      </c>
      <c r="D155" s="11" t="str">
        <f aca="false">IF(A155="","",SUMIFS('Food Log'!E:E,'Food Log'!A:A,A155))</f>
        <v/>
      </c>
      <c r="E155" s="11" t="str">
        <f aca="false">IF(A155="","",SUMIFS('Food Log'!F:F,'Food Log'!A:A,A155))</f>
        <v/>
      </c>
      <c r="F155" s="11" t="str">
        <f aca="false">IF(A155="","",SUMIFS('Food Log'!C:C,'Food Log'!A:A,A155,'Food Log'!G:G,"Yes*"))</f>
        <v/>
      </c>
      <c r="G155" s="11" t="str">
        <f aca="false">IF(A155="","",'Profile &amp; Targets'!$B$24)</f>
        <v/>
      </c>
      <c r="H155" s="11" t="str">
        <f aca="false">IF(A155="","",'Profile &amp; Targets'!$B$25)</f>
        <v/>
      </c>
      <c r="I155" s="11" t="str">
        <f aca="false">IF(A155="","",'Profile &amp; Targets'!$B$27)</f>
        <v/>
      </c>
      <c r="J155" s="11" t="str">
        <f aca="false">IF(A155="","",'Profile &amp; Targets'!$B$26)</f>
        <v/>
      </c>
      <c r="K155" s="11" t="str">
        <f aca="false">IF(A155="","",B155-G155)</f>
        <v/>
      </c>
      <c r="L155" s="11" t="str">
        <f aca="false">IF(A155="","",C155-H155)</f>
        <v/>
      </c>
      <c r="M155" s="11" t="str">
        <f aca="false">IF(A155="","",D155-I155)</f>
        <v/>
      </c>
      <c r="N155" s="11" t="str">
        <f aca="false">IF(A155="","",E155-J155)</f>
        <v/>
      </c>
    </row>
    <row r="156" customFormat="false" ht="15" hidden="false" customHeight="true" outlineLevel="0" collapsed="false">
      <c r="A156" s="10"/>
      <c r="B156" s="11" t="str">
        <f aca="false">IF(A156="","",SUMIFS('Food Log'!C:C,'Food Log'!A:A,A156))</f>
        <v/>
      </c>
      <c r="C156" s="11" t="str">
        <f aca="false">IF(A156="","",SUMIFS('Food Log'!D:D,'Food Log'!A:A,A156))</f>
        <v/>
      </c>
      <c r="D156" s="11" t="str">
        <f aca="false">IF(A156="","",SUMIFS('Food Log'!E:E,'Food Log'!A:A,A156))</f>
        <v/>
      </c>
      <c r="E156" s="11" t="str">
        <f aca="false">IF(A156="","",SUMIFS('Food Log'!F:F,'Food Log'!A:A,A156))</f>
        <v/>
      </c>
      <c r="F156" s="11" t="str">
        <f aca="false">IF(A156="","",SUMIFS('Food Log'!C:C,'Food Log'!A:A,A156,'Food Log'!G:G,"Yes*"))</f>
        <v/>
      </c>
      <c r="G156" s="11" t="str">
        <f aca="false">IF(A156="","",'Profile &amp; Targets'!$B$24)</f>
        <v/>
      </c>
      <c r="H156" s="11" t="str">
        <f aca="false">IF(A156="","",'Profile &amp; Targets'!$B$25)</f>
        <v/>
      </c>
      <c r="I156" s="11" t="str">
        <f aca="false">IF(A156="","",'Profile &amp; Targets'!$B$27)</f>
        <v/>
      </c>
      <c r="J156" s="11" t="str">
        <f aca="false">IF(A156="","",'Profile &amp; Targets'!$B$26)</f>
        <v/>
      </c>
      <c r="K156" s="11" t="str">
        <f aca="false">IF(A156="","",B156-G156)</f>
        <v/>
      </c>
      <c r="L156" s="11" t="str">
        <f aca="false">IF(A156="","",C156-H156)</f>
        <v/>
      </c>
      <c r="M156" s="11" t="str">
        <f aca="false">IF(A156="","",D156-I156)</f>
        <v/>
      </c>
      <c r="N156" s="11" t="str">
        <f aca="false">IF(A156="","",E156-J156)</f>
        <v/>
      </c>
    </row>
    <row r="157" customFormat="false" ht="15" hidden="false" customHeight="true" outlineLevel="0" collapsed="false">
      <c r="A157" s="10"/>
      <c r="B157" s="11" t="str">
        <f aca="false">IF(A157="","",SUMIFS('Food Log'!C:C,'Food Log'!A:A,A157))</f>
        <v/>
      </c>
      <c r="C157" s="11" t="str">
        <f aca="false">IF(A157="","",SUMIFS('Food Log'!D:D,'Food Log'!A:A,A157))</f>
        <v/>
      </c>
      <c r="D157" s="11" t="str">
        <f aca="false">IF(A157="","",SUMIFS('Food Log'!E:E,'Food Log'!A:A,A157))</f>
        <v/>
      </c>
      <c r="E157" s="11" t="str">
        <f aca="false">IF(A157="","",SUMIFS('Food Log'!F:F,'Food Log'!A:A,A157))</f>
        <v/>
      </c>
      <c r="F157" s="11" t="str">
        <f aca="false">IF(A157="","",SUMIFS('Food Log'!C:C,'Food Log'!A:A,A157,'Food Log'!G:G,"Yes*"))</f>
        <v/>
      </c>
      <c r="G157" s="11" t="str">
        <f aca="false">IF(A157="","",'Profile &amp; Targets'!$B$24)</f>
        <v/>
      </c>
      <c r="H157" s="11" t="str">
        <f aca="false">IF(A157="","",'Profile &amp; Targets'!$B$25)</f>
        <v/>
      </c>
      <c r="I157" s="11" t="str">
        <f aca="false">IF(A157="","",'Profile &amp; Targets'!$B$27)</f>
        <v/>
      </c>
      <c r="J157" s="11" t="str">
        <f aca="false">IF(A157="","",'Profile &amp; Targets'!$B$26)</f>
        <v/>
      </c>
      <c r="K157" s="11" t="str">
        <f aca="false">IF(A157="","",B157-G157)</f>
        <v/>
      </c>
      <c r="L157" s="11" t="str">
        <f aca="false">IF(A157="","",C157-H157)</f>
        <v/>
      </c>
      <c r="M157" s="11" t="str">
        <f aca="false">IF(A157="","",D157-I157)</f>
        <v/>
      </c>
      <c r="N157" s="11" t="str">
        <f aca="false">IF(A157="","",E157-J157)</f>
        <v/>
      </c>
    </row>
    <row r="158" customFormat="false" ht="15" hidden="false" customHeight="true" outlineLevel="0" collapsed="false">
      <c r="A158" s="10"/>
      <c r="B158" s="11" t="str">
        <f aca="false">IF(A158="","",SUMIFS('Food Log'!C:C,'Food Log'!A:A,A158))</f>
        <v/>
      </c>
      <c r="C158" s="11" t="str">
        <f aca="false">IF(A158="","",SUMIFS('Food Log'!D:D,'Food Log'!A:A,A158))</f>
        <v/>
      </c>
      <c r="D158" s="11" t="str">
        <f aca="false">IF(A158="","",SUMIFS('Food Log'!E:E,'Food Log'!A:A,A158))</f>
        <v/>
      </c>
      <c r="E158" s="11" t="str">
        <f aca="false">IF(A158="","",SUMIFS('Food Log'!F:F,'Food Log'!A:A,A158))</f>
        <v/>
      </c>
      <c r="F158" s="11" t="str">
        <f aca="false">IF(A158="","",SUMIFS('Food Log'!C:C,'Food Log'!A:A,A158,'Food Log'!G:G,"Yes*"))</f>
        <v/>
      </c>
      <c r="G158" s="11" t="str">
        <f aca="false">IF(A158="","",'Profile &amp; Targets'!$B$24)</f>
        <v/>
      </c>
      <c r="H158" s="11" t="str">
        <f aca="false">IF(A158="","",'Profile &amp; Targets'!$B$25)</f>
        <v/>
      </c>
      <c r="I158" s="11" t="str">
        <f aca="false">IF(A158="","",'Profile &amp; Targets'!$B$27)</f>
        <v/>
      </c>
      <c r="J158" s="11" t="str">
        <f aca="false">IF(A158="","",'Profile &amp; Targets'!$B$26)</f>
        <v/>
      </c>
      <c r="K158" s="11" t="str">
        <f aca="false">IF(A158="","",B158-G158)</f>
        <v/>
      </c>
      <c r="L158" s="11" t="str">
        <f aca="false">IF(A158="","",C158-H158)</f>
        <v/>
      </c>
      <c r="M158" s="11" t="str">
        <f aca="false">IF(A158="","",D158-I158)</f>
        <v/>
      </c>
      <c r="N158" s="11" t="str">
        <f aca="false">IF(A158="","",E158-J158)</f>
        <v/>
      </c>
    </row>
    <row r="159" customFormat="false" ht="15" hidden="false" customHeight="true" outlineLevel="0" collapsed="false">
      <c r="A159" s="10"/>
      <c r="B159" s="11" t="str">
        <f aca="false">IF(A159="","",SUMIFS('Food Log'!C:C,'Food Log'!A:A,A159))</f>
        <v/>
      </c>
      <c r="C159" s="11" t="str">
        <f aca="false">IF(A159="","",SUMIFS('Food Log'!D:D,'Food Log'!A:A,A159))</f>
        <v/>
      </c>
      <c r="D159" s="11" t="str">
        <f aca="false">IF(A159="","",SUMIFS('Food Log'!E:E,'Food Log'!A:A,A159))</f>
        <v/>
      </c>
      <c r="E159" s="11" t="str">
        <f aca="false">IF(A159="","",SUMIFS('Food Log'!F:F,'Food Log'!A:A,A159))</f>
        <v/>
      </c>
      <c r="F159" s="11" t="str">
        <f aca="false">IF(A159="","",SUMIFS('Food Log'!C:C,'Food Log'!A:A,A159,'Food Log'!G:G,"Yes*"))</f>
        <v/>
      </c>
      <c r="G159" s="11" t="str">
        <f aca="false">IF(A159="","",'Profile &amp; Targets'!$B$24)</f>
        <v/>
      </c>
      <c r="H159" s="11" t="str">
        <f aca="false">IF(A159="","",'Profile &amp; Targets'!$B$25)</f>
        <v/>
      </c>
      <c r="I159" s="11" t="str">
        <f aca="false">IF(A159="","",'Profile &amp; Targets'!$B$27)</f>
        <v/>
      </c>
      <c r="J159" s="11" t="str">
        <f aca="false">IF(A159="","",'Profile &amp; Targets'!$B$26)</f>
        <v/>
      </c>
      <c r="K159" s="11" t="str">
        <f aca="false">IF(A159="","",B159-G159)</f>
        <v/>
      </c>
      <c r="L159" s="11" t="str">
        <f aca="false">IF(A159="","",C159-H159)</f>
        <v/>
      </c>
      <c r="M159" s="11" t="str">
        <f aca="false">IF(A159="","",D159-I159)</f>
        <v/>
      </c>
      <c r="N159" s="11" t="str">
        <f aca="false">IF(A159="","",E159-J159)</f>
        <v/>
      </c>
    </row>
    <row r="160" customFormat="false" ht="15" hidden="false" customHeight="true" outlineLevel="0" collapsed="false">
      <c r="A160" s="10"/>
      <c r="B160" s="11" t="str">
        <f aca="false">IF(A160="","",SUMIFS('Food Log'!C:C,'Food Log'!A:A,A160))</f>
        <v/>
      </c>
      <c r="C160" s="11" t="str">
        <f aca="false">IF(A160="","",SUMIFS('Food Log'!D:D,'Food Log'!A:A,A160))</f>
        <v/>
      </c>
      <c r="D160" s="11" t="str">
        <f aca="false">IF(A160="","",SUMIFS('Food Log'!E:E,'Food Log'!A:A,A160))</f>
        <v/>
      </c>
      <c r="E160" s="11" t="str">
        <f aca="false">IF(A160="","",SUMIFS('Food Log'!F:F,'Food Log'!A:A,A160))</f>
        <v/>
      </c>
      <c r="F160" s="11" t="str">
        <f aca="false">IF(A160="","",SUMIFS('Food Log'!C:C,'Food Log'!A:A,A160,'Food Log'!G:G,"Yes*"))</f>
        <v/>
      </c>
      <c r="G160" s="11" t="str">
        <f aca="false">IF(A160="","",'Profile &amp; Targets'!$B$24)</f>
        <v/>
      </c>
      <c r="H160" s="11" t="str">
        <f aca="false">IF(A160="","",'Profile &amp; Targets'!$B$25)</f>
        <v/>
      </c>
      <c r="I160" s="11" t="str">
        <f aca="false">IF(A160="","",'Profile &amp; Targets'!$B$27)</f>
        <v/>
      </c>
      <c r="J160" s="11" t="str">
        <f aca="false">IF(A160="","",'Profile &amp; Targets'!$B$26)</f>
        <v/>
      </c>
      <c r="K160" s="11" t="str">
        <f aca="false">IF(A160="","",B160-G160)</f>
        <v/>
      </c>
      <c r="L160" s="11" t="str">
        <f aca="false">IF(A160="","",C160-H160)</f>
        <v/>
      </c>
      <c r="M160" s="11" t="str">
        <f aca="false">IF(A160="","",D160-I160)</f>
        <v/>
      </c>
      <c r="N160" s="11" t="str">
        <f aca="false">IF(A160="","",E160-J160)</f>
        <v/>
      </c>
    </row>
    <row r="161" customFormat="false" ht="15" hidden="false" customHeight="true" outlineLevel="0" collapsed="false">
      <c r="A161" s="10"/>
      <c r="B161" s="11" t="str">
        <f aca="false">IF(A161="","",SUMIFS('Food Log'!C:C,'Food Log'!A:A,A161))</f>
        <v/>
      </c>
      <c r="C161" s="11" t="str">
        <f aca="false">IF(A161="","",SUMIFS('Food Log'!D:D,'Food Log'!A:A,A161))</f>
        <v/>
      </c>
      <c r="D161" s="11" t="str">
        <f aca="false">IF(A161="","",SUMIFS('Food Log'!E:E,'Food Log'!A:A,A161))</f>
        <v/>
      </c>
      <c r="E161" s="11" t="str">
        <f aca="false">IF(A161="","",SUMIFS('Food Log'!F:F,'Food Log'!A:A,A161))</f>
        <v/>
      </c>
      <c r="F161" s="11" t="str">
        <f aca="false">IF(A161="","",SUMIFS('Food Log'!C:C,'Food Log'!A:A,A161,'Food Log'!G:G,"Yes*"))</f>
        <v/>
      </c>
      <c r="G161" s="11" t="str">
        <f aca="false">IF(A161="","",'Profile &amp; Targets'!$B$24)</f>
        <v/>
      </c>
      <c r="H161" s="11" t="str">
        <f aca="false">IF(A161="","",'Profile &amp; Targets'!$B$25)</f>
        <v/>
      </c>
      <c r="I161" s="11" t="str">
        <f aca="false">IF(A161="","",'Profile &amp; Targets'!$B$27)</f>
        <v/>
      </c>
      <c r="J161" s="11" t="str">
        <f aca="false">IF(A161="","",'Profile &amp; Targets'!$B$26)</f>
        <v/>
      </c>
      <c r="K161" s="11" t="str">
        <f aca="false">IF(A161="","",B161-G161)</f>
        <v/>
      </c>
      <c r="L161" s="11" t="str">
        <f aca="false">IF(A161="","",C161-H161)</f>
        <v/>
      </c>
      <c r="M161" s="11" t="str">
        <f aca="false">IF(A161="","",D161-I161)</f>
        <v/>
      </c>
      <c r="N161" s="11" t="str">
        <f aca="false">IF(A161="","",E161-J161)</f>
        <v/>
      </c>
    </row>
    <row r="162" customFormat="false" ht="15" hidden="false" customHeight="true" outlineLevel="0" collapsed="false">
      <c r="A162" s="10"/>
      <c r="B162" s="11" t="str">
        <f aca="false">IF(A162="","",SUMIFS('Food Log'!C:C,'Food Log'!A:A,A162))</f>
        <v/>
      </c>
      <c r="C162" s="11" t="str">
        <f aca="false">IF(A162="","",SUMIFS('Food Log'!D:D,'Food Log'!A:A,A162))</f>
        <v/>
      </c>
      <c r="D162" s="11" t="str">
        <f aca="false">IF(A162="","",SUMIFS('Food Log'!E:E,'Food Log'!A:A,A162))</f>
        <v/>
      </c>
      <c r="E162" s="11" t="str">
        <f aca="false">IF(A162="","",SUMIFS('Food Log'!F:F,'Food Log'!A:A,A162))</f>
        <v/>
      </c>
      <c r="F162" s="11" t="str">
        <f aca="false">IF(A162="","",SUMIFS('Food Log'!C:C,'Food Log'!A:A,A162,'Food Log'!G:G,"Yes*"))</f>
        <v/>
      </c>
      <c r="G162" s="11" t="str">
        <f aca="false">IF(A162="","",'Profile &amp; Targets'!$B$24)</f>
        <v/>
      </c>
      <c r="H162" s="11" t="str">
        <f aca="false">IF(A162="","",'Profile &amp; Targets'!$B$25)</f>
        <v/>
      </c>
      <c r="I162" s="11" t="str">
        <f aca="false">IF(A162="","",'Profile &amp; Targets'!$B$27)</f>
        <v/>
      </c>
      <c r="J162" s="11" t="str">
        <f aca="false">IF(A162="","",'Profile &amp; Targets'!$B$26)</f>
        <v/>
      </c>
      <c r="K162" s="11" t="str">
        <f aca="false">IF(A162="","",B162-G162)</f>
        <v/>
      </c>
      <c r="L162" s="11" t="str">
        <f aca="false">IF(A162="","",C162-H162)</f>
        <v/>
      </c>
      <c r="M162" s="11" t="str">
        <f aca="false">IF(A162="","",D162-I162)</f>
        <v/>
      </c>
      <c r="N162" s="11" t="str">
        <f aca="false">IF(A162="","",E162-J162)</f>
        <v/>
      </c>
    </row>
    <row r="163" customFormat="false" ht="15" hidden="false" customHeight="true" outlineLevel="0" collapsed="false">
      <c r="A163" s="10"/>
      <c r="B163" s="11" t="str">
        <f aca="false">IF(A163="","",SUMIFS('Food Log'!C:C,'Food Log'!A:A,A163))</f>
        <v/>
      </c>
      <c r="C163" s="11" t="str">
        <f aca="false">IF(A163="","",SUMIFS('Food Log'!D:D,'Food Log'!A:A,A163))</f>
        <v/>
      </c>
      <c r="D163" s="11" t="str">
        <f aca="false">IF(A163="","",SUMIFS('Food Log'!E:E,'Food Log'!A:A,A163))</f>
        <v/>
      </c>
      <c r="E163" s="11" t="str">
        <f aca="false">IF(A163="","",SUMIFS('Food Log'!F:F,'Food Log'!A:A,A163))</f>
        <v/>
      </c>
      <c r="F163" s="11" t="str">
        <f aca="false">IF(A163="","",SUMIFS('Food Log'!C:C,'Food Log'!A:A,A163,'Food Log'!G:G,"Yes*"))</f>
        <v/>
      </c>
      <c r="G163" s="11" t="str">
        <f aca="false">IF(A163="","",'Profile &amp; Targets'!$B$24)</f>
        <v/>
      </c>
      <c r="H163" s="11" t="str">
        <f aca="false">IF(A163="","",'Profile &amp; Targets'!$B$25)</f>
        <v/>
      </c>
      <c r="I163" s="11" t="str">
        <f aca="false">IF(A163="","",'Profile &amp; Targets'!$B$27)</f>
        <v/>
      </c>
      <c r="J163" s="11" t="str">
        <f aca="false">IF(A163="","",'Profile &amp; Targets'!$B$26)</f>
        <v/>
      </c>
      <c r="K163" s="11" t="str">
        <f aca="false">IF(A163="","",B163-G163)</f>
        <v/>
      </c>
      <c r="L163" s="11" t="str">
        <f aca="false">IF(A163="","",C163-H163)</f>
        <v/>
      </c>
      <c r="M163" s="11" t="str">
        <f aca="false">IF(A163="","",D163-I163)</f>
        <v/>
      </c>
      <c r="N163" s="11" t="str">
        <f aca="false">IF(A163="","",E163-J163)</f>
        <v/>
      </c>
    </row>
    <row r="164" customFormat="false" ht="15" hidden="false" customHeight="true" outlineLevel="0" collapsed="false">
      <c r="A164" s="10"/>
      <c r="B164" s="11" t="str">
        <f aca="false">IF(A164="","",SUMIFS('Food Log'!C:C,'Food Log'!A:A,A164))</f>
        <v/>
      </c>
      <c r="C164" s="11" t="str">
        <f aca="false">IF(A164="","",SUMIFS('Food Log'!D:D,'Food Log'!A:A,A164))</f>
        <v/>
      </c>
      <c r="D164" s="11" t="str">
        <f aca="false">IF(A164="","",SUMIFS('Food Log'!E:E,'Food Log'!A:A,A164))</f>
        <v/>
      </c>
      <c r="E164" s="11" t="str">
        <f aca="false">IF(A164="","",SUMIFS('Food Log'!F:F,'Food Log'!A:A,A164))</f>
        <v/>
      </c>
      <c r="F164" s="11" t="str">
        <f aca="false">IF(A164="","",SUMIFS('Food Log'!C:C,'Food Log'!A:A,A164,'Food Log'!G:G,"Yes*"))</f>
        <v/>
      </c>
      <c r="G164" s="11" t="str">
        <f aca="false">IF(A164="","",'Profile &amp; Targets'!$B$24)</f>
        <v/>
      </c>
      <c r="H164" s="11" t="str">
        <f aca="false">IF(A164="","",'Profile &amp; Targets'!$B$25)</f>
        <v/>
      </c>
      <c r="I164" s="11" t="str">
        <f aca="false">IF(A164="","",'Profile &amp; Targets'!$B$27)</f>
        <v/>
      </c>
      <c r="J164" s="11" t="str">
        <f aca="false">IF(A164="","",'Profile &amp; Targets'!$B$26)</f>
        <v/>
      </c>
      <c r="K164" s="11" t="str">
        <f aca="false">IF(A164="","",B164-G164)</f>
        <v/>
      </c>
      <c r="L164" s="11" t="str">
        <f aca="false">IF(A164="","",C164-H164)</f>
        <v/>
      </c>
      <c r="M164" s="11" t="str">
        <f aca="false">IF(A164="","",D164-I164)</f>
        <v/>
      </c>
      <c r="N164" s="11" t="str">
        <f aca="false">IF(A164="","",E164-J164)</f>
        <v/>
      </c>
    </row>
    <row r="165" customFormat="false" ht="15" hidden="false" customHeight="true" outlineLevel="0" collapsed="false">
      <c r="A165" s="10"/>
      <c r="B165" s="11" t="str">
        <f aca="false">IF(A165="","",SUMIFS('Food Log'!C:C,'Food Log'!A:A,A165))</f>
        <v/>
      </c>
      <c r="C165" s="11" t="str">
        <f aca="false">IF(A165="","",SUMIFS('Food Log'!D:D,'Food Log'!A:A,A165))</f>
        <v/>
      </c>
      <c r="D165" s="11" t="str">
        <f aca="false">IF(A165="","",SUMIFS('Food Log'!E:E,'Food Log'!A:A,A165))</f>
        <v/>
      </c>
      <c r="E165" s="11" t="str">
        <f aca="false">IF(A165="","",SUMIFS('Food Log'!F:F,'Food Log'!A:A,A165))</f>
        <v/>
      </c>
      <c r="F165" s="11" t="str">
        <f aca="false">IF(A165="","",SUMIFS('Food Log'!C:C,'Food Log'!A:A,A165,'Food Log'!G:G,"Yes*"))</f>
        <v/>
      </c>
      <c r="G165" s="11" t="str">
        <f aca="false">IF(A165="","",'Profile &amp; Targets'!$B$24)</f>
        <v/>
      </c>
      <c r="H165" s="11" t="str">
        <f aca="false">IF(A165="","",'Profile &amp; Targets'!$B$25)</f>
        <v/>
      </c>
      <c r="I165" s="11" t="str">
        <f aca="false">IF(A165="","",'Profile &amp; Targets'!$B$27)</f>
        <v/>
      </c>
      <c r="J165" s="11" t="str">
        <f aca="false">IF(A165="","",'Profile &amp; Targets'!$B$26)</f>
        <v/>
      </c>
      <c r="K165" s="11" t="str">
        <f aca="false">IF(A165="","",B165-G165)</f>
        <v/>
      </c>
      <c r="L165" s="11" t="str">
        <f aca="false">IF(A165="","",C165-H165)</f>
        <v/>
      </c>
      <c r="M165" s="11" t="str">
        <f aca="false">IF(A165="","",D165-I165)</f>
        <v/>
      </c>
      <c r="N165" s="11" t="str">
        <f aca="false">IF(A165="","",E165-J165)</f>
        <v/>
      </c>
    </row>
    <row r="166" customFormat="false" ht="15" hidden="false" customHeight="true" outlineLevel="0" collapsed="false">
      <c r="A166" s="10"/>
      <c r="B166" s="11" t="str">
        <f aca="false">IF(A166="","",SUMIFS('Food Log'!C:C,'Food Log'!A:A,A166))</f>
        <v/>
      </c>
      <c r="C166" s="11" t="str">
        <f aca="false">IF(A166="","",SUMIFS('Food Log'!D:D,'Food Log'!A:A,A166))</f>
        <v/>
      </c>
      <c r="D166" s="11" t="str">
        <f aca="false">IF(A166="","",SUMIFS('Food Log'!E:E,'Food Log'!A:A,A166))</f>
        <v/>
      </c>
      <c r="E166" s="11" t="str">
        <f aca="false">IF(A166="","",SUMIFS('Food Log'!F:F,'Food Log'!A:A,A166))</f>
        <v/>
      </c>
      <c r="F166" s="11" t="str">
        <f aca="false">IF(A166="","",SUMIFS('Food Log'!C:C,'Food Log'!A:A,A166,'Food Log'!G:G,"Yes*"))</f>
        <v/>
      </c>
      <c r="G166" s="11" t="str">
        <f aca="false">IF(A166="","",'Profile &amp; Targets'!$B$24)</f>
        <v/>
      </c>
      <c r="H166" s="11" t="str">
        <f aca="false">IF(A166="","",'Profile &amp; Targets'!$B$25)</f>
        <v/>
      </c>
      <c r="I166" s="11" t="str">
        <f aca="false">IF(A166="","",'Profile &amp; Targets'!$B$27)</f>
        <v/>
      </c>
      <c r="J166" s="11" t="str">
        <f aca="false">IF(A166="","",'Profile &amp; Targets'!$B$26)</f>
        <v/>
      </c>
      <c r="K166" s="11" t="str">
        <f aca="false">IF(A166="","",B166-G166)</f>
        <v/>
      </c>
      <c r="L166" s="11" t="str">
        <f aca="false">IF(A166="","",C166-H166)</f>
        <v/>
      </c>
      <c r="M166" s="11" t="str">
        <f aca="false">IF(A166="","",D166-I166)</f>
        <v/>
      </c>
      <c r="N166" s="11" t="str">
        <f aca="false">IF(A166="","",E166-J166)</f>
        <v/>
      </c>
    </row>
    <row r="167" customFormat="false" ht="15" hidden="false" customHeight="true" outlineLevel="0" collapsed="false">
      <c r="A167" s="10"/>
      <c r="B167" s="11" t="str">
        <f aca="false">IF(A167="","",SUMIFS('Food Log'!C:C,'Food Log'!A:A,A167))</f>
        <v/>
      </c>
      <c r="C167" s="11" t="str">
        <f aca="false">IF(A167="","",SUMIFS('Food Log'!D:D,'Food Log'!A:A,A167))</f>
        <v/>
      </c>
      <c r="D167" s="11" t="str">
        <f aca="false">IF(A167="","",SUMIFS('Food Log'!E:E,'Food Log'!A:A,A167))</f>
        <v/>
      </c>
      <c r="E167" s="11" t="str">
        <f aca="false">IF(A167="","",SUMIFS('Food Log'!F:F,'Food Log'!A:A,A167))</f>
        <v/>
      </c>
      <c r="F167" s="11" t="str">
        <f aca="false">IF(A167="","",SUMIFS('Food Log'!C:C,'Food Log'!A:A,A167,'Food Log'!G:G,"Yes*"))</f>
        <v/>
      </c>
      <c r="G167" s="11" t="str">
        <f aca="false">IF(A167="","",'Profile &amp; Targets'!$B$24)</f>
        <v/>
      </c>
      <c r="H167" s="11" t="str">
        <f aca="false">IF(A167="","",'Profile &amp; Targets'!$B$25)</f>
        <v/>
      </c>
      <c r="I167" s="11" t="str">
        <f aca="false">IF(A167="","",'Profile &amp; Targets'!$B$27)</f>
        <v/>
      </c>
      <c r="J167" s="11" t="str">
        <f aca="false">IF(A167="","",'Profile &amp; Targets'!$B$26)</f>
        <v/>
      </c>
      <c r="K167" s="11" t="str">
        <f aca="false">IF(A167="","",B167-G167)</f>
        <v/>
      </c>
      <c r="L167" s="11" t="str">
        <f aca="false">IF(A167="","",C167-H167)</f>
        <v/>
      </c>
      <c r="M167" s="11" t="str">
        <f aca="false">IF(A167="","",D167-I167)</f>
        <v/>
      </c>
      <c r="N167" s="11" t="str">
        <f aca="false">IF(A167="","",E167-J167)</f>
        <v/>
      </c>
    </row>
    <row r="168" customFormat="false" ht="15" hidden="false" customHeight="true" outlineLevel="0" collapsed="false">
      <c r="A168" s="10"/>
      <c r="B168" s="11" t="str">
        <f aca="false">IF(A168="","",SUMIFS('Food Log'!C:C,'Food Log'!A:A,A168))</f>
        <v/>
      </c>
      <c r="C168" s="11" t="str">
        <f aca="false">IF(A168="","",SUMIFS('Food Log'!D:D,'Food Log'!A:A,A168))</f>
        <v/>
      </c>
      <c r="D168" s="11" t="str">
        <f aca="false">IF(A168="","",SUMIFS('Food Log'!E:E,'Food Log'!A:A,A168))</f>
        <v/>
      </c>
      <c r="E168" s="11" t="str">
        <f aca="false">IF(A168="","",SUMIFS('Food Log'!F:F,'Food Log'!A:A,A168))</f>
        <v/>
      </c>
      <c r="F168" s="11" t="str">
        <f aca="false">IF(A168="","",SUMIFS('Food Log'!C:C,'Food Log'!A:A,A168,'Food Log'!G:G,"Yes*"))</f>
        <v/>
      </c>
      <c r="G168" s="11" t="str">
        <f aca="false">IF(A168="","",'Profile &amp; Targets'!$B$24)</f>
        <v/>
      </c>
      <c r="H168" s="11" t="str">
        <f aca="false">IF(A168="","",'Profile &amp; Targets'!$B$25)</f>
        <v/>
      </c>
      <c r="I168" s="11" t="str">
        <f aca="false">IF(A168="","",'Profile &amp; Targets'!$B$27)</f>
        <v/>
      </c>
      <c r="J168" s="11" t="str">
        <f aca="false">IF(A168="","",'Profile &amp; Targets'!$B$26)</f>
        <v/>
      </c>
      <c r="K168" s="11" t="str">
        <f aca="false">IF(A168="","",B168-G168)</f>
        <v/>
      </c>
      <c r="L168" s="11" t="str">
        <f aca="false">IF(A168="","",C168-H168)</f>
        <v/>
      </c>
      <c r="M168" s="11" t="str">
        <f aca="false">IF(A168="","",D168-I168)</f>
        <v/>
      </c>
      <c r="N168" s="11" t="str">
        <f aca="false">IF(A168="","",E168-J168)</f>
        <v/>
      </c>
    </row>
    <row r="169" customFormat="false" ht="15" hidden="false" customHeight="true" outlineLevel="0" collapsed="false">
      <c r="A169" s="10"/>
      <c r="B169" s="11" t="str">
        <f aca="false">IF(A169="","",SUMIFS('Food Log'!C:C,'Food Log'!A:A,A169))</f>
        <v/>
      </c>
      <c r="C169" s="11" t="str">
        <f aca="false">IF(A169="","",SUMIFS('Food Log'!D:D,'Food Log'!A:A,A169))</f>
        <v/>
      </c>
      <c r="D169" s="11" t="str">
        <f aca="false">IF(A169="","",SUMIFS('Food Log'!E:E,'Food Log'!A:A,A169))</f>
        <v/>
      </c>
      <c r="E169" s="11" t="str">
        <f aca="false">IF(A169="","",SUMIFS('Food Log'!F:F,'Food Log'!A:A,A169))</f>
        <v/>
      </c>
      <c r="F169" s="11" t="str">
        <f aca="false">IF(A169="","",SUMIFS('Food Log'!C:C,'Food Log'!A:A,A169,'Food Log'!G:G,"Yes*"))</f>
        <v/>
      </c>
      <c r="G169" s="11" t="str">
        <f aca="false">IF(A169="","",'Profile &amp; Targets'!$B$24)</f>
        <v/>
      </c>
      <c r="H169" s="11" t="str">
        <f aca="false">IF(A169="","",'Profile &amp; Targets'!$B$25)</f>
        <v/>
      </c>
      <c r="I169" s="11" t="str">
        <f aca="false">IF(A169="","",'Profile &amp; Targets'!$B$27)</f>
        <v/>
      </c>
      <c r="J169" s="11" t="str">
        <f aca="false">IF(A169="","",'Profile &amp; Targets'!$B$26)</f>
        <v/>
      </c>
      <c r="K169" s="11" t="str">
        <f aca="false">IF(A169="","",B169-G169)</f>
        <v/>
      </c>
      <c r="L169" s="11" t="str">
        <f aca="false">IF(A169="","",C169-H169)</f>
        <v/>
      </c>
      <c r="M169" s="11" t="str">
        <f aca="false">IF(A169="","",D169-I169)</f>
        <v/>
      </c>
      <c r="N169" s="11" t="str">
        <f aca="false">IF(A169="","",E169-J169)</f>
        <v/>
      </c>
    </row>
    <row r="170" customFormat="false" ht="15" hidden="false" customHeight="true" outlineLevel="0" collapsed="false">
      <c r="A170" s="10"/>
      <c r="B170" s="11" t="str">
        <f aca="false">IF(A170="","",SUMIFS('Food Log'!C:C,'Food Log'!A:A,A170))</f>
        <v/>
      </c>
      <c r="C170" s="11" t="str">
        <f aca="false">IF(A170="","",SUMIFS('Food Log'!D:D,'Food Log'!A:A,A170))</f>
        <v/>
      </c>
      <c r="D170" s="11" t="str">
        <f aca="false">IF(A170="","",SUMIFS('Food Log'!E:E,'Food Log'!A:A,A170))</f>
        <v/>
      </c>
      <c r="E170" s="11" t="str">
        <f aca="false">IF(A170="","",SUMIFS('Food Log'!F:F,'Food Log'!A:A,A170))</f>
        <v/>
      </c>
      <c r="F170" s="11" t="str">
        <f aca="false">IF(A170="","",SUMIFS('Food Log'!C:C,'Food Log'!A:A,A170,'Food Log'!G:G,"Yes*"))</f>
        <v/>
      </c>
      <c r="G170" s="11" t="str">
        <f aca="false">IF(A170="","",'Profile &amp; Targets'!$B$24)</f>
        <v/>
      </c>
      <c r="H170" s="11" t="str">
        <f aca="false">IF(A170="","",'Profile &amp; Targets'!$B$25)</f>
        <v/>
      </c>
      <c r="I170" s="11" t="str">
        <f aca="false">IF(A170="","",'Profile &amp; Targets'!$B$27)</f>
        <v/>
      </c>
      <c r="J170" s="11" t="str">
        <f aca="false">IF(A170="","",'Profile &amp; Targets'!$B$26)</f>
        <v/>
      </c>
      <c r="K170" s="11" t="str">
        <f aca="false">IF(A170="","",B170-G170)</f>
        <v/>
      </c>
      <c r="L170" s="11" t="str">
        <f aca="false">IF(A170="","",C170-H170)</f>
        <v/>
      </c>
      <c r="M170" s="11" t="str">
        <f aca="false">IF(A170="","",D170-I170)</f>
        <v/>
      </c>
      <c r="N170" s="11" t="str">
        <f aca="false">IF(A170="","",E170-J170)</f>
        <v/>
      </c>
    </row>
    <row r="171" customFormat="false" ht="15" hidden="false" customHeight="true" outlineLevel="0" collapsed="false">
      <c r="A171" s="10"/>
      <c r="B171" s="11" t="str">
        <f aca="false">IF(A171="","",SUMIFS('Food Log'!C:C,'Food Log'!A:A,A171))</f>
        <v/>
      </c>
      <c r="C171" s="11" t="str">
        <f aca="false">IF(A171="","",SUMIFS('Food Log'!D:D,'Food Log'!A:A,A171))</f>
        <v/>
      </c>
      <c r="D171" s="11" t="str">
        <f aca="false">IF(A171="","",SUMIFS('Food Log'!E:E,'Food Log'!A:A,A171))</f>
        <v/>
      </c>
      <c r="E171" s="11" t="str">
        <f aca="false">IF(A171="","",SUMIFS('Food Log'!F:F,'Food Log'!A:A,A171))</f>
        <v/>
      </c>
      <c r="F171" s="11" t="str">
        <f aca="false">IF(A171="","",SUMIFS('Food Log'!C:C,'Food Log'!A:A,A171,'Food Log'!G:G,"Yes*"))</f>
        <v/>
      </c>
      <c r="G171" s="11" t="str">
        <f aca="false">IF(A171="","",'Profile &amp; Targets'!$B$24)</f>
        <v/>
      </c>
      <c r="H171" s="11" t="str">
        <f aca="false">IF(A171="","",'Profile &amp; Targets'!$B$25)</f>
        <v/>
      </c>
      <c r="I171" s="11" t="str">
        <f aca="false">IF(A171="","",'Profile &amp; Targets'!$B$27)</f>
        <v/>
      </c>
      <c r="J171" s="11" t="str">
        <f aca="false">IF(A171="","",'Profile &amp; Targets'!$B$26)</f>
        <v/>
      </c>
      <c r="K171" s="11" t="str">
        <f aca="false">IF(A171="","",B171-G171)</f>
        <v/>
      </c>
      <c r="L171" s="11" t="str">
        <f aca="false">IF(A171="","",C171-H171)</f>
        <v/>
      </c>
      <c r="M171" s="11" t="str">
        <f aca="false">IF(A171="","",D171-I171)</f>
        <v/>
      </c>
      <c r="N171" s="11" t="str">
        <f aca="false">IF(A171="","",E171-J171)</f>
        <v/>
      </c>
    </row>
    <row r="172" customFormat="false" ht="15" hidden="false" customHeight="true" outlineLevel="0" collapsed="false">
      <c r="A172" s="10"/>
      <c r="B172" s="11" t="str">
        <f aca="false">IF(A172="","",SUMIFS('Food Log'!C:C,'Food Log'!A:A,A172))</f>
        <v/>
      </c>
      <c r="C172" s="11" t="str">
        <f aca="false">IF(A172="","",SUMIFS('Food Log'!D:D,'Food Log'!A:A,A172))</f>
        <v/>
      </c>
      <c r="D172" s="11" t="str">
        <f aca="false">IF(A172="","",SUMIFS('Food Log'!E:E,'Food Log'!A:A,A172))</f>
        <v/>
      </c>
      <c r="E172" s="11" t="str">
        <f aca="false">IF(A172="","",SUMIFS('Food Log'!F:F,'Food Log'!A:A,A172))</f>
        <v/>
      </c>
      <c r="F172" s="11" t="str">
        <f aca="false">IF(A172="","",SUMIFS('Food Log'!C:C,'Food Log'!A:A,A172,'Food Log'!G:G,"Yes*"))</f>
        <v/>
      </c>
      <c r="G172" s="11" t="str">
        <f aca="false">IF(A172="","",'Profile &amp; Targets'!$B$24)</f>
        <v/>
      </c>
      <c r="H172" s="11" t="str">
        <f aca="false">IF(A172="","",'Profile &amp; Targets'!$B$25)</f>
        <v/>
      </c>
      <c r="I172" s="11" t="str">
        <f aca="false">IF(A172="","",'Profile &amp; Targets'!$B$27)</f>
        <v/>
      </c>
      <c r="J172" s="11" t="str">
        <f aca="false">IF(A172="","",'Profile &amp; Targets'!$B$26)</f>
        <v/>
      </c>
      <c r="K172" s="11" t="str">
        <f aca="false">IF(A172="","",B172-G172)</f>
        <v/>
      </c>
      <c r="L172" s="11" t="str">
        <f aca="false">IF(A172="","",C172-H172)</f>
        <v/>
      </c>
      <c r="M172" s="11" t="str">
        <f aca="false">IF(A172="","",D172-I172)</f>
        <v/>
      </c>
      <c r="N172" s="11" t="str">
        <f aca="false">IF(A172="","",E172-J172)</f>
        <v/>
      </c>
    </row>
    <row r="173" customFormat="false" ht="15" hidden="false" customHeight="true" outlineLevel="0" collapsed="false">
      <c r="A173" s="10"/>
      <c r="B173" s="11" t="str">
        <f aca="false">IF(A173="","",SUMIFS('Food Log'!C:C,'Food Log'!A:A,A173))</f>
        <v/>
      </c>
      <c r="C173" s="11" t="str">
        <f aca="false">IF(A173="","",SUMIFS('Food Log'!D:D,'Food Log'!A:A,A173))</f>
        <v/>
      </c>
      <c r="D173" s="11" t="str">
        <f aca="false">IF(A173="","",SUMIFS('Food Log'!E:E,'Food Log'!A:A,A173))</f>
        <v/>
      </c>
      <c r="E173" s="11" t="str">
        <f aca="false">IF(A173="","",SUMIFS('Food Log'!F:F,'Food Log'!A:A,A173))</f>
        <v/>
      </c>
      <c r="F173" s="11" t="str">
        <f aca="false">IF(A173="","",SUMIFS('Food Log'!C:C,'Food Log'!A:A,A173,'Food Log'!G:G,"Yes*"))</f>
        <v/>
      </c>
      <c r="G173" s="11" t="str">
        <f aca="false">IF(A173="","",'Profile &amp; Targets'!$B$24)</f>
        <v/>
      </c>
      <c r="H173" s="11" t="str">
        <f aca="false">IF(A173="","",'Profile &amp; Targets'!$B$25)</f>
        <v/>
      </c>
      <c r="I173" s="11" t="str">
        <f aca="false">IF(A173="","",'Profile &amp; Targets'!$B$27)</f>
        <v/>
      </c>
      <c r="J173" s="11" t="str">
        <f aca="false">IF(A173="","",'Profile &amp; Targets'!$B$26)</f>
        <v/>
      </c>
      <c r="K173" s="11" t="str">
        <f aca="false">IF(A173="","",B173-G173)</f>
        <v/>
      </c>
      <c r="L173" s="11" t="str">
        <f aca="false">IF(A173="","",C173-H173)</f>
        <v/>
      </c>
      <c r="M173" s="11" t="str">
        <f aca="false">IF(A173="","",D173-I173)</f>
        <v/>
      </c>
      <c r="N173" s="11" t="str">
        <f aca="false">IF(A173="","",E173-J173)</f>
        <v/>
      </c>
    </row>
    <row r="174" customFormat="false" ht="15" hidden="false" customHeight="true" outlineLevel="0" collapsed="false">
      <c r="A174" s="10"/>
      <c r="B174" s="11" t="str">
        <f aca="false">IF(A174="","",SUMIFS('Food Log'!C:C,'Food Log'!A:A,A174))</f>
        <v/>
      </c>
      <c r="C174" s="11" t="str">
        <f aca="false">IF(A174="","",SUMIFS('Food Log'!D:D,'Food Log'!A:A,A174))</f>
        <v/>
      </c>
      <c r="D174" s="11" t="str">
        <f aca="false">IF(A174="","",SUMIFS('Food Log'!E:E,'Food Log'!A:A,A174))</f>
        <v/>
      </c>
      <c r="E174" s="11" t="str">
        <f aca="false">IF(A174="","",SUMIFS('Food Log'!F:F,'Food Log'!A:A,A174))</f>
        <v/>
      </c>
      <c r="F174" s="11" t="str">
        <f aca="false">IF(A174="","",SUMIFS('Food Log'!C:C,'Food Log'!A:A,A174,'Food Log'!G:G,"Yes*"))</f>
        <v/>
      </c>
      <c r="G174" s="11" t="str">
        <f aca="false">IF(A174="","",'Profile &amp; Targets'!$B$24)</f>
        <v/>
      </c>
      <c r="H174" s="11" t="str">
        <f aca="false">IF(A174="","",'Profile &amp; Targets'!$B$25)</f>
        <v/>
      </c>
      <c r="I174" s="11" t="str">
        <f aca="false">IF(A174="","",'Profile &amp; Targets'!$B$27)</f>
        <v/>
      </c>
      <c r="J174" s="11" t="str">
        <f aca="false">IF(A174="","",'Profile &amp; Targets'!$B$26)</f>
        <v/>
      </c>
      <c r="K174" s="11" t="str">
        <f aca="false">IF(A174="","",B174-G174)</f>
        <v/>
      </c>
      <c r="L174" s="11" t="str">
        <f aca="false">IF(A174="","",C174-H174)</f>
        <v/>
      </c>
      <c r="M174" s="11" t="str">
        <f aca="false">IF(A174="","",D174-I174)</f>
        <v/>
      </c>
      <c r="N174" s="11" t="str">
        <f aca="false">IF(A174="","",E174-J174)</f>
        <v/>
      </c>
    </row>
    <row r="175" customFormat="false" ht="15" hidden="false" customHeight="true" outlineLevel="0" collapsed="false">
      <c r="A175" s="10"/>
      <c r="B175" s="11" t="str">
        <f aca="false">IF(A175="","",SUMIFS('Food Log'!C:C,'Food Log'!A:A,A175))</f>
        <v/>
      </c>
      <c r="C175" s="11" t="str">
        <f aca="false">IF(A175="","",SUMIFS('Food Log'!D:D,'Food Log'!A:A,A175))</f>
        <v/>
      </c>
      <c r="D175" s="11" t="str">
        <f aca="false">IF(A175="","",SUMIFS('Food Log'!E:E,'Food Log'!A:A,A175))</f>
        <v/>
      </c>
      <c r="E175" s="11" t="str">
        <f aca="false">IF(A175="","",SUMIFS('Food Log'!F:F,'Food Log'!A:A,A175))</f>
        <v/>
      </c>
      <c r="F175" s="11" t="str">
        <f aca="false">IF(A175="","",SUMIFS('Food Log'!C:C,'Food Log'!A:A,A175,'Food Log'!G:G,"Yes*"))</f>
        <v/>
      </c>
      <c r="G175" s="11" t="str">
        <f aca="false">IF(A175="","",'Profile &amp; Targets'!$B$24)</f>
        <v/>
      </c>
      <c r="H175" s="11" t="str">
        <f aca="false">IF(A175="","",'Profile &amp; Targets'!$B$25)</f>
        <v/>
      </c>
      <c r="I175" s="11" t="str">
        <f aca="false">IF(A175="","",'Profile &amp; Targets'!$B$27)</f>
        <v/>
      </c>
      <c r="J175" s="11" t="str">
        <f aca="false">IF(A175="","",'Profile &amp; Targets'!$B$26)</f>
        <v/>
      </c>
      <c r="K175" s="11" t="str">
        <f aca="false">IF(A175="","",B175-G175)</f>
        <v/>
      </c>
      <c r="L175" s="11" t="str">
        <f aca="false">IF(A175="","",C175-H175)</f>
        <v/>
      </c>
      <c r="M175" s="11" t="str">
        <f aca="false">IF(A175="","",D175-I175)</f>
        <v/>
      </c>
      <c r="N175" s="11" t="str">
        <f aca="false">IF(A175="","",E175-J175)</f>
        <v/>
      </c>
    </row>
    <row r="176" customFormat="false" ht="15" hidden="false" customHeight="true" outlineLevel="0" collapsed="false">
      <c r="A176" s="10"/>
      <c r="B176" s="11" t="str">
        <f aca="false">IF(A176="","",SUMIFS('Food Log'!C:C,'Food Log'!A:A,A176))</f>
        <v/>
      </c>
      <c r="C176" s="11" t="str">
        <f aca="false">IF(A176="","",SUMIFS('Food Log'!D:D,'Food Log'!A:A,A176))</f>
        <v/>
      </c>
      <c r="D176" s="11" t="str">
        <f aca="false">IF(A176="","",SUMIFS('Food Log'!E:E,'Food Log'!A:A,A176))</f>
        <v/>
      </c>
      <c r="E176" s="11" t="str">
        <f aca="false">IF(A176="","",SUMIFS('Food Log'!F:F,'Food Log'!A:A,A176))</f>
        <v/>
      </c>
      <c r="F176" s="11" t="str">
        <f aca="false">IF(A176="","",SUMIFS('Food Log'!C:C,'Food Log'!A:A,A176,'Food Log'!G:G,"Yes*"))</f>
        <v/>
      </c>
      <c r="G176" s="11" t="str">
        <f aca="false">IF(A176="","",'Profile &amp; Targets'!$B$24)</f>
        <v/>
      </c>
      <c r="H176" s="11" t="str">
        <f aca="false">IF(A176="","",'Profile &amp; Targets'!$B$25)</f>
        <v/>
      </c>
      <c r="I176" s="11" t="str">
        <f aca="false">IF(A176="","",'Profile &amp; Targets'!$B$27)</f>
        <v/>
      </c>
      <c r="J176" s="11" t="str">
        <f aca="false">IF(A176="","",'Profile &amp; Targets'!$B$26)</f>
        <v/>
      </c>
      <c r="K176" s="11" t="str">
        <f aca="false">IF(A176="","",B176-G176)</f>
        <v/>
      </c>
      <c r="L176" s="11" t="str">
        <f aca="false">IF(A176="","",C176-H176)</f>
        <v/>
      </c>
      <c r="M176" s="11" t="str">
        <f aca="false">IF(A176="","",D176-I176)</f>
        <v/>
      </c>
      <c r="N176" s="11" t="str">
        <f aca="false">IF(A176="","",E176-J176)</f>
        <v/>
      </c>
    </row>
    <row r="177" customFormat="false" ht="15" hidden="false" customHeight="true" outlineLevel="0" collapsed="false">
      <c r="A177" s="10"/>
      <c r="B177" s="11" t="str">
        <f aca="false">IF(A177="","",SUMIFS('Food Log'!C:C,'Food Log'!A:A,A177))</f>
        <v/>
      </c>
      <c r="C177" s="11" t="str">
        <f aca="false">IF(A177="","",SUMIFS('Food Log'!D:D,'Food Log'!A:A,A177))</f>
        <v/>
      </c>
      <c r="D177" s="11" t="str">
        <f aca="false">IF(A177="","",SUMIFS('Food Log'!E:E,'Food Log'!A:A,A177))</f>
        <v/>
      </c>
      <c r="E177" s="11" t="str">
        <f aca="false">IF(A177="","",SUMIFS('Food Log'!F:F,'Food Log'!A:A,A177))</f>
        <v/>
      </c>
      <c r="F177" s="11" t="str">
        <f aca="false">IF(A177="","",SUMIFS('Food Log'!C:C,'Food Log'!A:A,A177,'Food Log'!G:G,"Yes*"))</f>
        <v/>
      </c>
      <c r="G177" s="11" t="str">
        <f aca="false">IF(A177="","",'Profile &amp; Targets'!$B$24)</f>
        <v/>
      </c>
      <c r="H177" s="11" t="str">
        <f aca="false">IF(A177="","",'Profile &amp; Targets'!$B$25)</f>
        <v/>
      </c>
      <c r="I177" s="11" t="str">
        <f aca="false">IF(A177="","",'Profile &amp; Targets'!$B$27)</f>
        <v/>
      </c>
      <c r="J177" s="11" t="str">
        <f aca="false">IF(A177="","",'Profile &amp; Targets'!$B$26)</f>
        <v/>
      </c>
      <c r="K177" s="11" t="str">
        <f aca="false">IF(A177="","",B177-G177)</f>
        <v/>
      </c>
      <c r="L177" s="11" t="str">
        <f aca="false">IF(A177="","",C177-H177)</f>
        <v/>
      </c>
      <c r="M177" s="11" t="str">
        <f aca="false">IF(A177="","",D177-I177)</f>
        <v/>
      </c>
      <c r="N177" s="11" t="str">
        <f aca="false">IF(A177="","",E177-J177)</f>
        <v/>
      </c>
    </row>
    <row r="178" customFormat="false" ht="15" hidden="false" customHeight="true" outlineLevel="0" collapsed="false">
      <c r="A178" s="10"/>
      <c r="B178" s="11" t="str">
        <f aca="false">IF(A178="","",SUMIFS('Food Log'!C:C,'Food Log'!A:A,A178))</f>
        <v/>
      </c>
      <c r="C178" s="11" t="str">
        <f aca="false">IF(A178="","",SUMIFS('Food Log'!D:D,'Food Log'!A:A,A178))</f>
        <v/>
      </c>
      <c r="D178" s="11" t="str">
        <f aca="false">IF(A178="","",SUMIFS('Food Log'!E:E,'Food Log'!A:A,A178))</f>
        <v/>
      </c>
      <c r="E178" s="11" t="str">
        <f aca="false">IF(A178="","",SUMIFS('Food Log'!F:F,'Food Log'!A:A,A178))</f>
        <v/>
      </c>
      <c r="F178" s="11" t="str">
        <f aca="false">IF(A178="","",SUMIFS('Food Log'!C:C,'Food Log'!A:A,A178,'Food Log'!G:G,"Yes*"))</f>
        <v/>
      </c>
      <c r="G178" s="11" t="str">
        <f aca="false">IF(A178="","",'Profile &amp; Targets'!$B$24)</f>
        <v/>
      </c>
      <c r="H178" s="11" t="str">
        <f aca="false">IF(A178="","",'Profile &amp; Targets'!$B$25)</f>
        <v/>
      </c>
      <c r="I178" s="11" t="str">
        <f aca="false">IF(A178="","",'Profile &amp; Targets'!$B$27)</f>
        <v/>
      </c>
      <c r="J178" s="11" t="str">
        <f aca="false">IF(A178="","",'Profile &amp; Targets'!$B$26)</f>
        <v/>
      </c>
      <c r="K178" s="11" t="str">
        <f aca="false">IF(A178="","",B178-G178)</f>
        <v/>
      </c>
      <c r="L178" s="11" t="str">
        <f aca="false">IF(A178="","",C178-H178)</f>
        <v/>
      </c>
      <c r="M178" s="11" t="str">
        <f aca="false">IF(A178="","",D178-I178)</f>
        <v/>
      </c>
      <c r="N178" s="11" t="str">
        <f aca="false">IF(A178="","",E178-J178)</f>
        <v/>
      </c>
    </row>
    <row r="179" customFormat="false" ht="15" hidden="false" customHeight="true" outlineLevel="0" collapsed="false">
      <c r="A179" s="10"/>
      <c r="B179" s="11" t="str">
        <f aca="false">IF(A179="","",SUMIFS('Food Log'!C:C,'Food Log'!A:A,A179))</f>
        <v/>
      </c>
      <c r="C179" s="11" t="str">
        <f aca="false">IF(A179="","",SUMIFS('Food Log'!D:D,'Food Log'!A:A,A179))</f>
        <v/>
      </c>
      <c r="D179" s="11" t="str">
        <f aca="false">IF(A179="","",SUMIFS('Food Log'!E:E,'Food Log'!A:A,A179))</f>
        <v/>
      </c>
      <c r="E179" s="11" t="str">
        <f aca="false">IF(A179="","",SUMIFS('Food Log'!F:F,'Food Log'!A:A,A179))</f>
        <v/>
      </c>
      <c r="F179" s="11" t="str">
        <f aca="false">IF(A179="","",SUMIFS('Food Log'!C:C,'Food Log'!A:A,A179,'Food Log'!G:G,"Yes*"))</f>
        <v/>
      </c>
      <c r="G179" s="11" t="str">
        <f aca="false">IF(A179="","",'Profile &amp; Targets'!$B$24)</f>
        <v/>
      </c>
      <c r="H179" s="11" t="str">
        <f aca="false">IF(A179="","",'Profile &amp; Targets'!$B$25)</f>
        <v/>
      </c>
      <c r="I179" s="11" t="str">
        <f aca="false">IF(A179="","",'Profile &amp; Targets'!$B$27)</f>
        <v/>
      </c>
      <c r="J179" s="11" t="str">
        <f aca="false">IF(A179="","",'Profile &amp; Targets'!$B$26)</f>
        <v/>
      </c>
      <c r="K179" s="11" t="str">
        <f aca="false">IF(A179="","",B179-G179)</f>
        <v/>
      </c>
      <c r="L179" s="11" t="str">
        <f aca="false">IF(A179="","",C179-H179)</f>
        <v/>
      </c>
      <c r="M179" s="11" t="str">
        <f aca="false">IF(A179="","",D179-I179)</f>
        <v/>
      </c>
      <c r="N179" s="11" t="str">
        <f aca="false">IF(A179="","",E179-J179)</f>
        <v/>
      </c>
    </row>
    <row r="180" customFormat="false" ht="15" hidden="false" customHeight="true" outlineLevel="0" collapsed="false">
      <c r="A180" s="10"/>
      <c r="B180" s="11" t="str">
        <f aca="false">IF(A180="","",SUMIFS('Food Log'!C:C,'Food Log'!A:A,A180))</f>
        <v/>
      </c>
      <c r="C180" s="11" t="str">
        <f aca="false">IF(A180="","",SUMIFS('Food Log'!D:D,'Food Log'!A:A,A180))</f>
        <v/>
      </c>
      <c r="D180" s="11" t="str">
        <f aca="false">IF(A180="","",SUMIFS('Food Log'!E:E,'Food Log'!A:A,A180))</f>
        <v/>
      </c>
      <c r="E180" s="11" t="str">
        <f aca="false">IF(A180="","",SUMIFS('Food Log'!F:F,'Food Log'!A:A,A180))</f>
        <v/>
      </c>
      <c r="F180" s="11" t="str">
        <f aca="false">IF(A180="","",SUMIFS('Food Log'!C:C,'Food Log'!A:A,A180,'Food Log'!G:G,"Yes*"))</f>
        <v/>
      </c>
      <c r="G180" s="11" t="str">
        <f aca="false">IF(A180="","",'Profile &amp; Targets'!$B$24)</f>
        <v/>
      </c>
      <c r="H180" s="11" t="str">
        <f aca="false">IF(A180="","",'Profile &amp; Targets'!$B$25)</f>
        <v/>
      </c>
      <c r="I180" s="11" t="str">
        <f aca="false">IF(A180="","",'Profile &amp; Targets'!$B$27)</f>
        <v/>
      </c>
      <c r="J180" s="11" t="str">
        <f aca="false">IF(A180="","",'Profile &amp; Targets'!$B$26)</f>
        <v/>
      </c>
      <c r="K180" s="11" t="str">
        <f aca="false">IF(A180="","",B180-G180)</f>
        <v/>
      </c>
      <c r="L180" s="11" t="str">
        <f aca="false">IF(A180="","",C180-H180)</f>
        <v/>
      </c>
      <c r="M180" s="11" t="str">
        <f aca="false">IF(A180="","",D180-I180)</f>
        <v/>
      </c>
      <c r="N180" s="11" t="str">
        <f aca="false">IF(A180="","",E180-J180)</f>
        <v/>
      </c>
    </row>
    <row r="181" customFormat="false" ht="15" hidden="false" customHeight="true" outlineLevel="0" collapsed="false">
      <c r="A181" s="10"/>
      <c r="B181" s="11" t="str">
        <f aca="false">IF(A181="","",SUMIFS('Food Log'!C:C,'Food Log'!A:A,A181))</f>
        <v/>
      </c>
      <c r="C181" s="11" t="str">
        <f aca="false">IF(A181="","",SUMIFS('Food Log'!D:D,'Food Log'!A:A,A181))</f>
        <v/>
      </c>
      <c r="D181" s="11" t="str">
        <f aca="false">IF(A181="","",SUMIFS('Food Log'!E:E,'Food Log'!A:A,A181))</f>
        <v/>
      </c>
      <c r="E181" s="11" t="str">
        <f aca="false">IF(A181="","",SUMIFS('Food Log'!F:F,'Food Log'!A:A,A181))</f>
        <v/>
      </c>
      <c r="F181" s="11" t="str">
        <f aca="false">IF(A181="","",SUMIFS('Food Log'!C:C,'Food Log'!A:A,A181,'Food Log'!G:G,"Yes*"))</f>
        <v/>
      </c>
      <c r="G181" s="11" t="str">
        <f aca="false">IF(A181="","",'Profile &amp; Targets'!$B$24)</f>
        <v/>
      </c>
      <c r="H181" s="11" t="str">
        <f aca="false">IF(A181="","",'Profile &amp; Targets'!$B$25)</f>
        <v/>
      </c>
      <c r="I181" s="11" t="str">
        <f aca="false">IF(A181="","",'Profile &amp; Targets'!$B$27)</f>
        <v/>
      </c>
      <c r="J181" s="11" t="str">
        <f aca="false">IF(A181="","",'Profile &amp; Targets'!$B$26)</f>
        <v/>
      </c>
      <c r="K181" s="11" t="str">
        <f aca="false">IF(A181="","",B181-G181)</f>
        <v/>
      </c>
      <c r="L181" s="11" t="str">
        <f aca="false">IF(A181="","",C181-H181)</f>
        <v/>
      </c>
      <c r="M181" s="11" t="str">
        <f aca="false">IF(A181="","",D181-I181)</f>
        <v/>
      </c>
      <c r="N181" s="11" t="str">
        <f aca="false">IF(A181="","",E181-J181)</f>
        <v/>
      </c>
    </row>
    <row r="182" customFormat="false" ht="15" hidden="false" customHeight="true" outlineLevel="0" collapsed="false">
      <c r="A182" s="10"/>
      <c r="B182" s="11" t="str">
        <f aca="false">IF(A182="","",SUMIFS('Food Log'!C:C,'Food Log'!A:A,A182))</f>
        <v/>
      </c>
      <c r="C182" s="11" t="str">
        <f aca="false">IF(A182="","",SUMIFS('Food Log'!D:D,'Food Log'!A:A,A182))</f>
        <v/>
      </c>
      <c r="D182" s="11" t="str">
        <f aca="false">IF(A182="","",SUMIFS('Food Log'!E:E,'Food Log'!A:A,A182))</f>
        <v/>
      </c>
      <c r="E182" s="11" t="str">
        <f aca="false">IF(A182="","",SUMIFS('Food Log'!F:F,'Food Log'!A:A,A182))</f>
        <v/>
      </c>
      <c r="F182" s="11" t="str">
        <f aca="false">IF(A182="","",SUMIFS('Food Log'!C:C,'Food Log'!A:A,A182,'Food Log'!G:G,"Yes*"))</f>
        <v/>
      </c>
      <c r="G182" s="11" t="str">
        <f aca="false">IF(A182="","",'Profile &amp; Targets'!$B$24)</f>
        <v/>
      </c>
      <c r="H182" s="11" t="str">
        <f aca="false">IF(A182="","",'Profile &amp; Targets'!$B$25)</f>
        <v/>
      </c>
      <c r="I182" s="11" t="str">
        <f aca="false">IF(A182="","",'Profile &amp; Targets'!$B$27)</f>
        <v/>
      </c>
      <c r="J182" s="11" t="str">
        <f aca="false">IF(A182="","",'Profile &amp; Targets'!$B$26)</f>
        <v/>
      </c>
      <c r="K182" s="11" t="str">
        <f aca="false">IF(A182="","",B182-G182)</f>
        <v/>
      </c>
      <c r="L182" s="11" t="str">
        <f aca="false">IF(A182="","",C182-H182)</f>
        <v/>
      </c>
      <c r="M182" s="11" t="str">
        <f aca="false">IF(A182="","",D182-I182)</f>
        <v/>
      </c>
      <c r="N182" s="11" t="str">
        <f aca="false">IF(A182="","",E182-J182)</f>
        <v/>
      </c>
    </row>
    <row r="183" customFormat="false" ht="15" hidden="false" customHeight="true" outlineLevel="0" collapsed="false">
      <c r="A183" s="10"/>
      <c r="B183" s="11" t="str">
        <f aca="false">IF(A183="","",SUMIFS('Food Log'!C:C,'Food Log'!A:A,A183))</f>
        <v/>
      </c>
      <c r="C183" s="11" t="str">
        <f aca="false">IF(A183="","",SUMIFS('Food Log'!D:D,'Food Log'!A:A,A183))</f>
        <v/>
      </c>
      <c r="D183" s="11" t="str">
        <f aca="false">IF(A183="","",SUMIFS('Food Log'!E:E,'Food Log'!A:A,A183))</f>
        <v/>
      </c>
      <c r="E183" s="11" t="str">
        <f aca="false">IF(A183="","",SUMIFS('Food Log'!F:F,'Food Log'!A:A,A183))</f>
        <v/>
      </c>
      <c r="F183" s="11" t="str">
        <f aca="false">IF(A183="","",SUMIFS('Food Log'!C:C,'Food Log'!A:A,A183,'Food Log'!G:G,"Yes*"))</f>
        <v/>
      </c>
      <c r="G183" s="11" t="str">
        <f aca="false">IF(A183="","",'Profile &amp; Targets'!$B$24)</f>
        <v/>
      </c>
      <c r="H183" s="11" t="str">
        <f aca="false">IF(A183="","",'Profile &amp; Targets'!$B$25)</f>
        <v/>
      </c>
      <c r="I183" s="11" t="str">
        <f aca="false">IF(A183="","",'Profile &amp; Targets'!$B$27)</f>
        <v/>
      </c>
      <c r="J183" s="11" t="str">
        <f aca="false">IF(A183="","",'Profile &amp; Targets'!$B$26)</f>
        <v/>
      </c>
      <c r="K183" s="11" t="str">
        <f aca="false">IF(A183="","",B183-G183)</f>
        <v/>
      </c>
      <c r="L183" s="11" t="str">
        <f aca="false">IF(A183="","",C183-H183)</f>
        <v/>
      </c>
      <c r="M183" s="11" t="str">
        <f aca="false">IF(A183="","",D183-I183)</f>
        <v/>
      </c>
      <c r="N183" s="11" t="str">
        <f aca="false">IF(A183="","",E183-J183)</f>
        <v/>
      </c>
    </row>
    <row r="184" customFormat="false" ht="15" hidden="false" customHeight="true" outlineLevel="0" collapsed="false">
      <c r="A184" s="10"/>
      <c r="B184" s="11" t="str">
        <f aca="false">IF(A184="","",SUMIFS('Food Log'!C:C,'Food Log'!A:A,A184))</f>
        <v/>
      </c>
      <c r="C184" s="11" t="str">
        <f aca="false">IF(A184="","",SUMIFS('Food Log'!D:D,'Food Log'!A:A,A184))</f>
        <v/>
      </c>
      <c r="D184" s="11" t="str">
        <f aca="false">IF(A184="","",SUMIFS('Food Log'!E:E,'Food Log'!A:A,A184))</f>
        <v/>
      </c>
      <c r="E184" s="11" t="str">
        <f aca="false">IF(A184="","",SUMIFS('Food Log'!F:F,'Food Log'!A:A,A184))</f>
        <v/>
      </c>
      <c r="F184" s="11" t="str">
        <f aca="false">IF(A184="","",SUMIFS('Food Log'!C:C,'Food Log'!A:A,A184,'Food Log'!G:G,"Yes*"))</f>
        <v/>
      </c>
      <c r="G184" s="11" t="str">
        <f aca="false">IF(A184="","",'Profile &amp; Targets'!$B$24)</f>
        <v/>
      </c>
      <c r="H184" s="11" t="str">
        <f aca="false">IF(A184="","",'Profile &amp; Targets'!$B$25)</f>
        <v/>
      </c>
      <c r="I184" s="11" t="str">
        <f aca="false">IF(A184="","",'Profile &amp; Targets'!$B$27)</f>
        <v/>
      </c>
      <c r="J184" s="11" t="str">
        <f aca="false">IF(A184="","",'Profile &amp; Targets'!$B$26)</f>
        <v/>
      </c>
      <c r="K184" s="11" t="str">
        <f aca="false">IF(A184="","",B184-G184)</f>
        <v/>
      </c>
      <c r="L184" s="11" t="str">
        <f aca="false">IF(A184="","",C184-H184)</f>
        <v/>
      </c>
      <c r="M184" s="11" t="str">
        <f aca="false">IF(A184="","",D184-I184)</f>
        <v/>
      </c>
      <c r="N184" s="11" t="str">
        <f aca="false">IF(A184="","",E184-J184)</f>
        <v/>
      </c>
    </row>
    <row r="185" customFormat="false" ht="15" hidden="false" customHeight="true" outlineLevel="0" collapsed="false">
      <c r="A185" s="10"/>
      <c r="B185" s="11" t="str">
        <f aca="false">IF(A185="","",SUMIFS('Food Log'!C:C,'Food Log'!A:A,A185))</f>
        <v/>
      </c>
      <c r="C185" s="11" t="str">
        <f aca="false">IF(A185="","",SUMIFS('Food Log'!D:D,'Food Log'!A:A,A185))</f>
        <v/>
      </c>
      <c r="D185" s="11" t="str">
        <f aca="false">IF(A185="","",SUMIFS('Food Log'!E:E,'Food Log'!A:A,A185))</f>
        <v/>
      </c>
      <c r="E185" s="11" t="str">
        <f aca="false">IF(A185="","",SUMIFS('Food Log'!F:F,'Food Log'!A:A,A185))</f>
        <v/>
      </c>
      <c r="F185" s="11" t="str">
        <f aca="false">IF(A185="","",SUMIFS('Food Log'!C:C,'Food Log'!A:A,A185,'Food Log'!G:G,"Yes*"))</f>
        <v/>
      </c>
      <c r="G185" s="11" t="str">
        <f aca="false">IF(A185="","",'Profile &amp; Targets'!$B$24)</f>
        <v/>
      </c>
      <c r="H185" s="11" t="str">
        <f aca="false">IF(A185="","",'Profile &amp; Targets'!$B$25)</f>
        <v/>
      </c>
      <c r="I185" s="11" t="str">
        <f aca="false">IF(A185="","",'Profile &amp; Targets'!$B$27)</f>
        <v/>
      </c>
      <c r="J185" s="11" t="str">
        <f aca="false">IF(A185="","",'Profile &amp; Targets'!$B$26)</f>
        <v/>
      </c>
      <c r="K185" s="11" t="str">
        <f aca="false">IF(A185="","",B185-G185)</f>
        <v/>
      </c>
      <c r="L185" s="11" t="str">
        <f aca="false">IF(A185="","",C185-H185)</f>
        <v/>
      </c>
      <c r="M185" s="11" t="str">
        <f aca="false">IF(A185="","",D185-I185)</f>
        <v/>
      </c>
      <c r="N185" s="11" t="str">
        <f aca="false">IF(A185="","",E185-J185)</f>
        <v/>
      </c>
    </row>
    <row r="186" customFormat="false" ht="15" hidden="false" customHeight="true" outlineLevel="0" collapsed="false">
      <c r="A186" s="10"/>
      <c r="B186" s="11" t="str">
        <f aca="false">IF(A186="","",SUMIFS('Food Log'!C:C,'Food Log'!A:A,A186))</f>
        <v/>
      </c>
      <c r="C186" s="11" t="str">
        <f aca="false">IF(A186="","",SUMIFS('Food Log'!D:D,'Food Log'!A:A,A186))</f>
        <v/>
      </c>
      <c r="D186" s="11" t="str">
        <f aca="false">IF(A186="","",SUMIFS('Food Log'!E:E,'Food Log'!A:A,A186))</f>
        <v/>
      </c>
      <c r="E186" s="11" t="str">
        <f aca="false">IF(A186="","",SUMIFS('Food Log'!F:F,'Food Log'!A:A,A186))</f>
        <v/>
      </c>
      <c r="F186" s="11" t="str">
        <f aca="false">IF(A186="","",SUMIFS('Food Log'!C:C,'Food Log'!A:A,A186,'Food Log'!G:G,"Yes*"))</f>
        <v/>
      </c>
      <c r="G186" s="11" t="str">
        <f aca="false">IF(A186="","",'Profile &amp; Targets'!$B$24)</f>
        <v/>
      </c>
      <c r="H186" s="11" t="str">
        <f aca="false">IF(A186="","",'Profile &amp; Targets'!$B$25)</f>
        <v/>
      </c>
      <c r="I186" s="11" t="str">
        <f aca="false">IF(A186="","",'Profile &amp; Targets'!$B$27)</f>
        <v/>
      </c>
      <c r="J186" s="11" t="str">
        <f aca="false">IF(A186="","",'Profile &amp; Targets'!$B$26)</f>
        <v/>
      </c>
      <c r="K186" s="11" t="str">
        <f aca="false">IF(A186="","",B186-G186)</f>
        <v/>
      </c>
      <c r="L186" s="11" t="str">
        <f aca="false">IF(A186="","",C186-H186)</f>
        <v/>
      </c>
      <c r="M186" s="11" t="str">
        <f aca="false">IF(A186="","",D186-I186)</f>
        <v/>
      </c>
      <c r="N186" s="11" t="str">
        <f aca="false">IF(A186="","",E186-J186)</f>
        <v/>
      </c>
    </row>
    <row r="187" customFormat="false" ht="15" hidden="false" customHeight="true" outlineLevel="0" collapsed="false">
      <c r="A187" s="10"/>
      <c r="B187" s="11" t="str">
        <f aca="false">IF(A187="","",SUMIFS('Food Log'!C:C,'Food Log'!A:A,A187))</f>
        <v/>
      </c>
      <c r="C187" s="11" t="str">
        <f aca="false">IF(A187="","",SUMIFS('Food Log'!D:D,'Food Log'!A:A,A187))</f>
        <v/>
      </c>
      <c r="D187" s="11" t="str">
        <f aca="false">IF(A187="","",SUMIFS('Food Log'!E:E,'Food Log'!A:A,A187))</f>
        <v/>
      </c>
      <c r="E187" s="11" t="str">
        <f aca="false">IF(A187="","",SUMIFS('Food Log'!F:F,'Food Log'!A:A,A187))</f>
        <v/>
      </c>
      <c r="F187" s="11" t="str">
        <f aca="false">IF(A187="","",SUMIFS('Food Log'!C:C,'Food Log'!A:A,A187,'Food Log'!G:G,"Yes*"))</f>
        <v/>
      </c>
      <c r="G187" s="11" t="str">
        <f aca="false">IF(A187="","",'Profile &amp; Targets'!$B$24)</f>
        <v/>
      </c>
      <c r="H187" s="11" t="str">
        <f aca="false">IF(A187="","",'Profile &amp; Targets'!$B$25)</f>
        <v/>
      </c>
      <c r="I187" s="11" t="str">
        <f aca="false">IF(A187="","",'Profile &amp; Targets'!$B$27)</f>
        <v/>
      </c>
      <c r="J187" s="11" t="str">
        <f aca="false">IF(A187="","",'Profile &amp; Targets'!$B$26)</f>
        <v/>
      </c>
      <c r="K187" s="11" t="str">
        <f aca="false">IF(A187="","",B187-G187)</f>
        <v/>
      </c>
      <c r="L187" s="11" t="str">
        <f aca="false">IF(A187="","",C187-H187)</f>
        <v/>
      </c>
      <c r="M187" s="11" t="str">
        <f aca="false">IF(A187="","",D187-I187)</f>
        <v/>
      </c>
      <c r="N187" s="11" t="str">
        <f aca="false">IF(A187="","",E187-J187)</f>
        <v/>
      </c>
    </row>
    <row r="188" customFormat="false" ht="15" hidden="false" customHeight="true" outlineLevel="0" collapsed="false">
      <c r="A188" s="10"/>
      <c r="B188" s="11" t="str">
        <f aca="false">IF(A188="","",SUMIFS('Food Log'!C:C,'Food Log'!A:A,A188))</f>
        <v/>
      </c>
      <c r="C188" s="11" t="str">
        <f aca="false">IF(A188="","",SUMIFS('Food Log'!D:D,'Food Log'!A:A,A188))</f>
        <v/>
      </c>
      <c r="D188" s="11" t="str">
        <f aca="false">IF(A188="","",SUMIFS('Food Log'!E:E,'Food Log'!A:A,A188))</f>
        <v/>
      </c>
      <c r="E188" s="11" t="str">
        <f aca="false">IF(A188="","",SUMIFS('Food Log'!F:F,'Food Log'!A:A,A188))</f>
        <v/>
      </c>
      <c r="F188" s="11" t="str">
        <f aca="false">IF(A188="","",SUMIFS('Food Log'!C:C,'Food Log'!A:A,A188,'Food Log'!G:G,"Yes*"))</f>
        <v/>
      </c>
      <c r="G188" s="11" t="str">
        <f aca="false">IF(A188="","",'Profile &amp; Targets'!$B$24)</f>
        <v/>
      </c>
      <c r="H188" s="11" t="str">
        <f aca="false">IF(A188="","",'Profile &amp; Targets'!$B$25)</f>
        <v/>
      </c>
      <c r="I188" s="11" t="str">
        <f aca="false">IF(A188="","",'Profile &amp; Targets'!$B$27)</f>
        <v/>
      </c>
      <c r="J188" s="11" t="str">
        <f aca="false">IF(A188="","",'Profile &amp; Targets'!$B$26)</f>
        <v/>
      </c>
      <c r="K188" s="11" t="str">
        <f aca="false">IF(A188="","",B188-G188)</f>
        <v/>
      </c>
      <c r="L188" s="11" t="str">
        <f aca="false">IF(A188="","",C188-H188)</f>
        <v/>
      </c>
      <c r="M188" s="11" t="str">
        <f aca="false">IF(A188="","",D188-I188)</f>
        <v/>
      </c>
      <c r="N188" s="11" t="str">
        <f aca="false">IF(A188="","",E188-J188)</f>
        <v/>
      </c>
    </row>
    <row r="189" customFormat="false" ht="15" hidden="false" customHeight="true" outlineLevel="0" collapsed="false">
      <c r="A189" s="10"/>
      <c r="B189" s="11" t="str">
        <f aca="false">IF(A189="","",SUMIFS('Food Log'!C:C,'Food Log'!A:A,A189))</f>
        <v/>
      </c>
      <c r="C189" s="11" t="str">
        <f aca="false">IF(A189="","",SUMIFS('Food Log'!D:D,'Food Log'!A:A,A189))</f>
        <v/>
      </c>
      <c r="D189" s="11" t="str">
        <f aca="false">IF(A189="","",SUMIFS('Food Log'!E:E,'Food Log'!A:A,A189))</f>
        <v/>
      </c>
      <c r="E189" s="11" t="str">
        <f aca="false">IF(A189="","",SUMIFS('Food Log'!F:F,'Food Log'!A:A,A189))</f>
        <v/>
      </c>
      <c r="F189" s="11" t="str">
        <f aca="false">IF(A189="","",SUMIFS('Food Log'!C:C,'Food Log'!A:A,A189,'Food Log'!G:G,"Yes*"))</f>
        <v/>
      </c>
      <c r="G189" s="11" t="str">
        <f aca="false">IF(A189="","",'Profile &amp; Targets'!$B$24)</f>
        <v/>
      </c>
      <c r="H189" s="11" t="str">
        <f aca="false">IF(A189="","",'Profile &amp; Targets'!$B$25)</f>
        <v/>
      </c>
      <c r="I189" s="11" t="str">
        <f aca="false">IF(A189="","",'Profile &amp; Targets'!$B$27)</f>
        <v/>
      </c>
      <c r="J189" s="11" t="str">
        <f aca="false">IF(A189="","",'Profile &amp; Targets'!$B$26)</f>
        <v/>
      </c>
      <c r="K189" s="11" t="str">
        <f aca="false">IF(A189="","",B189-G189)</f>
        <v/>
      </c>
      <c r="L189" s="11" t="str">
        <f aca="false">IF(A189="","",C189-H189)</f>
        <v/>
      </c>
      <c r="M189" s="11" t="str">
        <f aca="false">IF(A189="","",D189-I189)</f>
        <v/>
      </c>
      <c r="N189" s="11" t="str">
        <f aca="false">IF(A189="","",E189-J189)</f>
        <v/>
      </c>
    </row>
    <row r="190" customFormat="false" ht="15" hidden="false" customHeight="true" outlineLevel="0" collapsed="false">
      <c r="A190" s="10"/>
      <c r="B190" s="11" t="str">
        <f aca="false">IF(A190="","",SUMIFS('Food Log'!C:C,'Food Log'!A:A,A190))</f>
        <v/>
      </c>
      <c r="C190" s="11" t="str">
        <f aca="false">IF(A190="","",SUMIFS('Food Log'!D:D,'Food Log'!A:A,A190))</f>
        <v/>
      </c>
      <c r="D190" s="11" t="str">
        <f aca="false">IF(A190="","",SUMIFS('Food Log'!E:E,'Food Log'!A:A,A190))</f>
        <v/>
      </c>
      <c r="E190" s="11" t="str">
        <f aca="false">IF(A190="","",SUMIFS('Food Log'!F:F,'Food Log'!A:A,A190))</f>
        <v/>
      </c>
      <c r="F190" s="11" t="str">
        <f aca="false">IF(A190="","",SUMIFS('Food Log'!C:C,'Food Log'!A:A,A190,'Food Log'!G:G,"Yes*"))</f>
        <v/>
      </c>
      <c r="G190" s="11" t="str">
        <f aca="false">IF(A190="","",'Profile &amp; Targets'!$B$24)</f>
        <v/>
      </c>
      <c r="H190" s="11" t="str">
        <f aca="false">IF(A190="","",'Profile &amp; Targets'!$B$25)</f>
        <v/>
      </c>
      <c r="I190" s="11" t="str">
        <f aca="false">IF(A190="","",'Profile &amp; Targets'!$B$27)</f>
        <v/>
      </c>
      <c r="J190" s="11" t="str">
        <f aca="false">IF(A190="","",'Profile &amp; Targets'!$B$26)</f>
        <v/>
      </c>
      <c r="K190" s="11" t="str">
        <f aca="false">IF(A190="","",B190-G190)</f>
        <v/>
      </c>
      <c r="L190" s="11" t="str">
        <f aca="false">IF(A190="","",C190-H190)</f>
        <v/>
      </c>
      <c r="M190" s="11" t="str">
        <f aca="false">IF(A190="","",D190-I190)</f>
        <v/>
      </c>
      <c r="N190" s="11" t="str">
        <f aca="false">IF(A190="","",E190-J190)</f>
        <v/>
      </c>
    </row>
    <row r="191" customFormat="false" ht="15" hidden="false" customHeight="true" outlineLevel="0" collapsed="false">
      <c r="A191" s="10"/>
      <c r="B191" s="11" t="str">
        <f aca="false">IF(A191="","",SUMIFS('Food Log'!C:C,'Food Log'!A:A,A191))</f>
        <v/>
      </c>
      <c r="C191" s="11" t="str">
        <f aca="false">IF(A191="","",SUMIFS('Food Log'!D:D,'Food Log'!A:A,A191))</f>
        <v/>
      </c>
      <c r="D191" s="11" t="str">
        <f aca="false">IF(A191="","",SUMIFS('Food Log'!E:E,'Food Log'!A:A,A191))</f>
        <v/>
      </c>
      <c r="E191" s="11" t="str">
        <f aca="false">IF(A191="","",SUMIFS('Food Log'!F:F,'Food Log'!A:A,A191))</f>
        <v/>
      </c>
      <c r="F191" s="11" t="str">
        <f aca="false">IF(A191="","",SUMIFS('Food Log'!C:C,'Food Log'!A:A,A191,'Food Log'!G:G,"Yes*"))</f>
        <v/>
      </c>
      <c r="G191" s="11" t="str">
        <f aca="false">IF(A191="","",'Profile &amp; Targets'!$B$24)</f>
        <v/>
      </c>
      <c r="H191" s="11" t="str">
        <f aca="false">IF(A191="","",'Profile &amp; Targets'!$B$25)</f>
        <v/>
      </c>
      <c r="I191" s="11" t="str">
        <f aca="false">IF(A191="","",'Profile &amp; Targets'!$B$27)</f>
        <v/>
      </c>
      <c r="J191" s="11" t="str">
        <f aca="false">IF(A191="","",'Profile &amp; Targets'!$B$26)</f>
        <v/>
      </c>
      <c r="K191" s="11" t="str">
        <f aca="false">IF(A191="","",B191-G191)</f>
        <v/>
      </c>
      <c r="L191" s="11" t="str">
        <f aca="false">IF(A191="","",C191-H191)</f>
        <v/>
      </c>
      <c r="M191" s="11" t="str">
        <f aca="false">IF(A191="","",D191-I191)</f>
        <v/>
      </c>
      <c r="N191" s="11" t="str">
        <f aca="false">IF(A191="","",E191-J191)</f>
        <v/>
      </c>
    </row>
    <row r="192" customFormat="false" ht="15" hidden="false" customHeight="true" outlineLevel="0" collapsed="false">
      <c r="A192" s="10"/>
      <c r="B192" s="11" t="str">
        <f aca="false">IF(A192="","",SUMIFS('Food Log'!C:C,'Food Log'!A:A,A192))</f>
        <v/>
      </c>
      <c r="C192" s="11" t="str">
        <f aca="false">IF(A192="","",SUMIFS('Food Log'!D:D,'Food Log'!A:A,A192))</f>
        <v/>
      </c>
      <c r="D192" s="11" t="str">
        <f aca="false">IF(A192="","",SUMIFS('Food Log'!E:E,'Food Log'!A:A,A192))</f>
        <v/>
      </c>
      <c r="E192" s="11" t="str">
        <f aca="false">IF(A192="","",SUMIFS('Food Log'!F:F,'Food Log'!A:A,A192))</f>
        <v/>
      </c>
      <c r="F192" s="11" t="str">
        <f aca="false">IF(A192="","",SUMIFS('Food Log'!C:C,'Food Log'!A:A,A192,'Food Log'!G:G,"Yes*"))</f>
        <v/>
      </c>
      <c r="G192" s="11" t="str">
        <f aca="false">IF(A192="","",'Profile &amp; Targets'!$B$24)</f>
        <v/>
      </c>
      <c r="H192" s="11" t="str">
        <f aca="false">IF(A192="","",'Profile &amp; Targets'!$B$25)</f>
        <v/>
      </c>
      <c r="I192" s="11" t="str">
        <f aca="false">IF(A192="","",'Profile &amp; Targets'!$B$27)</f>
        <v/>
      </c>
      <c r="J192" s="11" t="str">
        <f aca="false">IF(A192="","",'Profile &amp; Targets'!$B$26)</f>
        <v/>
      </c>
      <c r="K192" s="11" t="str">
        <f aca="false">IF(A192="","",B192-G192)</f>
        <v/>
      </c>
      <c r="L192" s="11" t="str">
        <f aca="false">IF(A192="","",C192-H192)</f>
        <v/>
      </c>
      <c r="M192" s="11" t="str">
        <f aca="false">IF(A192="","",D192-I192)</f>
        <v/>
      </c>
      <c r="N192" s="11" t="str">
        <f aca="false">IF(A192="","",E192-J192)</f>
        <v/>
      </c>
    </row>
    <row r="193" customFormat="false" ht="15" hidden="false" customHeight="true" outlineLevel="0" collapsed="false">
      <c r="A193" s="10"/>
      <c r="B193" s="11" t="str">
        <f aca="false">IF(A193="","",SUMIFS('Food Log'!C:C,'Food Log'!A:A,A193))</f>
        <v/>
      </c>
      <c r="C193" s="11" t="str">
        <f aca="false">IF(A193="","",SUMIFS('Food Log'!D:D,'Food Log'!A:A,A193))</f>
        <v/>
      </c>
      <c r="D193" s="11" t="str">
        <f aca="false">IF(A193="","",SUMIFS('Food Log'!E:E,'Food Log'!A:A,A193))</f>
        <v/>
      </c>
      <c r="E193" s="11" t="str">
        <f aca="false">IF(A193="","",SUMIFS('Food Log'!F:F,'Food Log'!A:A,A193))</f>
        <v/>
      </c>
      <c r="F193" s="11" t="str">
        <f aca="false">IF(A193="","",SUMIFS('Food Log'!C:C,'Food Log'!A:A,A193,'Food Log'!G:G,"Yes*"))</f>
        <v/>
      </c>
      <c r="G193" s="11" t="str">
        <f aca="false">IF(A193="","",'Profile &amp; Targets'!$B$24)</f>
        <v/>
      </c>
      <c r="H193" s="11" t="str">
        <f aca="false">IF(A193="","",'Profile &amp; Targets'!$B$25)</f>
        <v/>
      </c>
      <c r="I193" s="11" t="str">
        <f aca="false">IF(A193="","",'Profile &amp; Targets'!$B$27)</f>
        <v/>
      </c>
      <c r="J193" s="11" t="str">
        <f aca="false">IF(A193="","",'Profile &amp; Targets'!$B$26)</f>
        <v/>
      </c>
      <c r="K193" s="11" t="str">
        <f aca="false">IF(A193="","",B193-G193)</f>
        <v/>
      </c>
      <c r="L193" s="11" t="str">
        <f aca="false">IF(A193="","",C193-H193)</f>
        <v/>
      </c>
      <c r="M193" s="11" t="str">
        <f aca="false">IF(A193="","",D193-I193)</f>
        <v/>
      </c>
      <c r="N193" s="11" t="str">
        <f aca="false">IF(A193="","",E193-J193)</f>
        <v/>
      </c>
    </row>
    <row r="194" customFormat="false" ht="15" hidden="false" customHeight="true" outlineLevel="0" collapsed="false">
      <c r="A194" s="10"/>
      <c r="B194" s="11" t="str">
        <f aca="false">IF(A194="","",SUMIFS('Food Log'!C:C,'Food Log'!A:A,A194))</f>
        <v/>
      </c>
      <c r="C194" s="11" t="str">
        <f aca="false">IF(A194="","",SUMIFS('Food Log'!D:D,'Food Log'!A:A,A194))</f>
        <v/>
      </c>
      <c r="D194" s="11" t="str">
        <f aca="false">IF(A194="","",SUMIFS('Food Log'!E:E,'Food Log'!A:A,A194))</f>
        <v/>
      </c>
      <c r="E194" s="11" t="str">
        <f aca="false">IF(A194="","",SUMIFS('Food Log'!F:F,'Food Log'!A:A,A194))</f>
        <v/>
      </c>
      <c r="F194" s="11" t="str">
        <f aca="false">IF(A194="","",SUMIFS('Food Log'!C:C,'Food Log'!A:A,A194,'Food Log'!G:G,"Yes*"))</f>
        <v/>
      </c>
      <c r="G194" s="11" t="str">
        <f aca="false">IF(A194="","",'Profile &amp; Targets'!$B$24)</f>
        <v/>
      </c>
      <c r="H194" s="11" t="str">
        <f aca="false">IF(A194="","",'Profile &amp; Targets'!$B$25)</f>
        <v/>
      </c>
      <c r="I194" s="11" t="str">
        <f aca="false">IF(A194="","",'Profile &amp; Targets'!$B$27)</f>
        <v/>
      </c>
      <c r="J194" s="11" t="str">
        <f aca="false">IF(A194="","",'Profile &amp; Targets'!$B$26)</f>
        <v/>
      </c>
      <c r="K194" s="11" t="str">
        <f aca="false">IF(A194="","",B194-G194)</f>
        <v/>
      </c>
      <c r="L194" s="11" t="str">
        <f aca="false">IF(A194="","",C194-H194)</f>
        <v/>
      </c>
      <c r="M194" s="11" t="str">
        <f aca="false">IF(A194="","",D194-I194)</f>
        <v/>
      </c>
      <c r="N194" s="11" t="str">
        <f aca="false">IF(A194="","",E194-J194)</f>
        <v/>
      </c>
    </row>
    <row r="195" customFormat="false" ht="15" hidden="false" customHeight="true" outlineLevel="0" collapsed="false">
      <c r="A195" s="10"/>
      <c r="B195" s="11" t="str">
        <f aca="false">IF(A195="","",SUMIFS('Food Log'!C:C,'Food Log'!A:A,A195))</f>
        <v/>
      </c>
      <c r="C195" s="11" t="str">
        <f aca="false">IF(A195="","",SUMIFS('Food Log'!D:D,'Food Log'!A:A,A195))</f>
        <v/>
      </c>
      <c r="D195" s="11" t="str">
        <f aca="false">IF(A195="","",SUMIFS('Food Log'!E:E,'Food Log'!A:A,A195))</f>
        <v/>
      </c>
      <c r="E195" s="11" t="str">
        <f aca="false">IF(A195="","",SUMIFS('Food Log'!F:F,'Food Log'!A:A,A195))</f>
        <v/>
      </c>
      <c r="F195" s="11" t="str">
        <f aca="false">IF(A195="","",SUMIFS('Food Log'!C:C,'Food Log'!A:A,A195,'Food Log'!G:G,"Yes*"))</f>
        <v/>
      </c>
      <c r="G195" s="11" t="str">
        <f aca="false">IF(A195="","",'Profile &amp; Targets'!$B$24)</f>
        <v/>
      </c>
      <c r="H195" s="11" t="str">
        <f aca="false">IF(A195="","",'Profile &amp; Targets'!$B$25)</f>
        <v/>
      </c>
      <c r="I195" s="11" t="str">
        <f aca="false">IF(A195="","",'Profile &amp; Targets'!$B$27)</f>
        <v/>
      </c>
      <c r="J195" s="11" t="str">
        <f aca="false">IF(A195="","",'Profile &amp; Targets'!$B$26)</f>
        <v/>
      </c>
      <c r="K195" s="11" t="str">
        <f aca="false">IF(A195="","",B195-G195)</f>
        <v/>
      </c>
      <c r="L195" s="11" t="str">
        <f aca="false">IF(A195="","",C195-H195)</f>
        <v/>
      </c>
      <c r="M195" s="11" t="str">
        <f aca="false">IF(A195="","",D195-I195)</f>
        <v/>
      </c>
      <c r="N195" s="11" t="str">
        <f aca="false">IF(A195="","",E195-J195)</f>
        <v/>
      </c>
    </row>
    <row r="196" customFormat="false" ht="15" hidden="false" customHeight="true" outlineLevel="0" collapsed="false">
      <c r="A196" s="10"/>
      <c r="B196" s="11" t="str">
        <f aca="false">IF(A196="","",SUMIFS('Food Log'!C:C,'Food Log'!A:A,A196))</f>
        <v/>
      </c>
      <c r="C196" s="11" t="str">
        <f aca="false">IF(A196="","",SUMIFS('Food Log'!D:D,'Food Log'!A:A,A196))</f>
        <v/>
      </c>
      <c r="D196" s="11" t="str">
        <f aca="false">IF(A196="","",SUMIFS('Food Log'!E:E,'Food Log'!A:A,A196))</f>
        <v/>
      </c>
      <c r="E196" s="11" t="str">
        <f aca="false">IF(A196="","",SUMIFS('Food Log'!F:F,'Food Log'!A:A,A196))</f>
        <v/>
      </c>
      <c r="F196" s="11" t="str">
        <f aca="false">IF(A196="","",SUMIFS('Food Log'!C:C,'Food Log'!A:A,A196,'Food Log'!G:G,"Yes*"))</f>
        <v/>
      </c>
      <c r="G196" s="11" t="str">
        <f aca="false">IF(A196="","",'Profile &amp; Targets'!$B$24)</f>
        <v/>
      </c>
      <c r="H196" s="11" t="str">
        <f aca="false">IF(A196="","",'Profile &amp; Targets'!$B$25)</f>
        <v/>
      </c>
      <c r="I196" s="11" t="str">
        <f aca="false">IF(A196="","",'Profile &amp; Targets'!$B$27)</f>
        <v/>
      </c>
      <c r="J196" s="11" t="str">
        <f aca="false">IF(A196="","",'Profile &amp; Targets'!$B$26)</f>
        <v/>
      </c>
      <c r="K196" s="11" t="str">
        <f aca="false">IF(A196="","",B196-G196)</f>
        <v/>
      </c>
      <c r="L196" s="11" t="str">
        <f aca="false">IF(A196="","",C196-H196)</f>
        <v/>
      </c>
      <c r="M196" s="11" t="str">
        <f aca="false">IF(A196="","",D196-I196)</f>
        <v/>
      </c>
      <c r="N196" s="11" t="str">
        <f aca="false">IF(A196="","",E196-J196)</f>
        <v/>
      </c>
    </row>
    <row r="197" customFormat="false" ht="15" hidden="false" customHeight="true" outlineLevel="0" collapsed="false">
      <c r="A197" s="10"/>
      <c r="B197" s="11" t="str">
        <f aca="false">IF(A197="","",SUMIFS('Food Log'!C:C,'Food Log'!A:A,A197))</f>
        <v/>
      </c>
      <c r="C197" s="11" t="str">
        <f aca="false">IF(A197="","",SUMIFS('Food Log'!D:D,'Food Log'!A:A,A197))</f>
        <v/>
      </c>
      <c r="D197" s="11" t="str">
        <f aca="false">IF(A197="","",SUMIFS('Food Log'!E:E,'Food Log'!A:A,A197))</f>
        <v/>
      </c>
      <c r="E197" s="11" t="str">
        <f aca="false">IF(A197="","",SUMIFS('Food Log'!F:F,'Food Log'!A:A,A197))</f>
        <v/>
      </c>
      <c r="F197" s="11" t="str">
        <f aca="false">IF(A197="","",SUMIFS('Food Log'!C:C,'Food Log'!A:A,A197,'Food Log'!G:G,"Yes*"))</f>
        <v/>
      </c>
      <c r="G197" s="11" t="str">
        <f aca="false">IF(A197="","",'Profile &amp; Targets'!$B$24)</f>
        <v/>
      </c>
      <c r="H197" s="11" t="str">
        <f aca="false">IF(A197="","",'Profile &amp; Targets'!$B$25)</f>
        <v/>
      </c>
      <c r="I197" s="11" t="str">
        <f aca="false">IF(A197="","",'Profile &amp; Targets'!$B$27)</f>
        <v/>
      </c>
      <c r="J197" s="11" t="str">
        <f aca="false">IF(A197="","",'Profile &amp; Targets'!$B$26)</f>
        <v/>
      </c>
      <c r="K197" s="11" t="str">
        <f aca="false">IF(A197="","",B197-G197)</f>
        <v/>
      </c>
      <c r="L197" s="11" t="str">
        <f aca="false">IF(A197="","",C197-H197)</f>
        <v/>
      </c>
      <c r="M197" s="11" t="str">
        <f aca="false">IF(A197="","",D197-I197)</f>
        <v/>
      </c>
      <c r="N197" s="11" t="str">
        <f aca="false">IF(A197="","",E197-J197)</f>
        <v/>
      </c>
    </row>
    <row r="198" customFormat="false" ht="15" hidden="false" customHeight="true" outlineLevel="0" collapsed="false">
      <c r="A198" s="10"/>
      <c r="B198" s="11" t="str">
        <f aca="false">IF(A198="","",SUMIFS('Food Log'!C:C,'Food Log'!A:A,A198))</f>
        <v/>
      </c>
      <c r="C198" s="11" t="str">
        <f aca="false">IF(A198="","",SUMIFS('Food Log'!D:D,'Food Log'!A:A,A198))</f>
        <v/>
      </c>
      <c r="D198" s="11" t="str">
        <f aca="false">IF(A198="","",SUMIFS('Food Log'!E:E,'Food Log'!A:A,A198))</f>
        <v/>
      </c>
      <c r="E198" s="11" t="str">
        <f aca="false">IF(A198="","",SUMIFS('Food Log'!F:F,'Food Log'!A:A,A198))</f>
        <v/>
      </c>
      <c r="F198" s="11" t="str">
        <f aca="false">IF(A198="","",SUMIFS('Food Log'!C:C,'Food Log'!A:A,A198,'Food Log'!G:G,"Yes*"))</f>
        <v/>
      </c>
      <c r="G198" s="11" t="str">
        <f aca="false">IF(A198="","",'Profile &amp; Targets'!$B$24)</f>
        <v/>
      </c>
      <c r="H198" s="11" t="str">
        <f aca="false">IF(A198="","",'Profile &amp; Targets'!$B$25)</f>
        <v/>
      </c>
      <c r="I198" s="11" t="str">
        <f aca="false">IF(A198="","",'Profile &amp; Targets'!$B$27)</f>
        <v/>
      </c>
      <c r="J198" s="11" t="str">
        <f aca="false">IF(A198="","",'Profile &amp; Targets'!$B$26)</f>
        <v/>
      </c>
      <c r="K198" s="11" t="str">
        <f aca="false">IF(A198="","",B198-G198)</f>
        <v/>
      </c>
      <c r="L198" s="11" t="str">
        <f aca="false">IF(A198="","",C198-H198)</f>
        <v/>
      </c>
      <c r="M198" s="11" t="str">
        <f aca="false">IF(A198="","",D198-I198)</f>
        <v/>
      </c>
      <c r="N198" s="11" t="str">
        <f aca="false">IF(A198="","",E198-J198)</f>
        <v/>
      </c>
    </row>
    <row r="199" customFormat="false" ht="15" hidden="false" customHeight="true" outlineLevel="0" collapsed="false">
      <c r="A199" s="10"/>
      <c r="B199" s="11" t="str">
        <f aca="false">IF(A199="","",SUMIFS('Food Log'!C:C,'Food Log'!A:A,A199))</f>
        <v/>
      </c>
      <c r="C199" s="11" t="str">
        <f aca="false">IF(A199="","",SUMIFS('Food Log'!D:D,'Food Log'!A:A,A199))</f>
        <v/>
      </c>
      <c r="D199" s="11" t="str">
        <f aca="false">IF(A199="","",SUMIFS('Food Log'!E:E,'Food Log'!A:A,A199))</f>
        <v/>
      </c>
      <c r="E199" s="11" t="str">
        <f aca="false">IF(A199="","",SUMIFS('Food Log'!F:F,'Food Log'!A:A,A199))</f>
        <v/>
      </c>
      <c r="F199" s="11" t="str">
        <f aca="false">IF(A199="","",SUMIFS('Food Log'!C:C,'Food Log'!A:A,A199,'Food Log'!G:G,"Yes*"))</f>
        <v/>
      </c>
      <c r="G199" s="11" t="str">
        <f aca="false">IF(A199="","",'Profile &amp; Targets'!$B$24)</f>
        <v/>
      </c>
      <c r="H199" s="11" t="str">
        <f aca="false">IF(A199="","",'Profile &amp; Targets'!$B$25)</f>
        <v/>
      </c>
      <c r="I199" s="11" t="str">
        <f aca="false">IF(A199="","",'Profile &amp; Targets'!$B$27)</f>
        <v/>
      </c>
      <c r="J199" s="11" t="str">
        <f aca="false">IF(A199="","",'Profile &amp; Targets'!$B$26)</f>
        <v/>
      </c>
      <c r="K199" s="11" t="str">
        <f aca="false">IF(A199="","",B199-G199)</f>
        <v/>
      </c>
      <c r="L199" s="11" t="str">
        <f aca="false">IF(A199="","",C199-H199)</f>
        <v/>
      </c>
      <c r="M199" s="11" t="str">
        <f aca="false">IF(A199="","",D199-I199)</f>
        <v/>
      </c>
      <c r="N199" s="11" t="str">
        <f aca="false">IF(A199="","",E199-J199)</f>
        <v/>
      </c>
    </row>
    <row r="200" customFormat="false" ht="15" hidden="false" customHeight="true" outlineLevel="0" collapsed="false">
      <c r="A200" s="10"/>
      <c r="B200" s="11" t="str">
        <f aca="false">IF(A200="","",SUMIFS('Food Log'!C:C,'Food Log'!A:A,A200))</f>
        <v/>
      </c>
      <c r="C200" s="11" t="str">
        <f aca="false">IF(A200="","",SUMIFS('Food Log'!D:D,'Food Log'!A:A,A200))</f>
        <v/>
      </c>
      <c r="D200" s="11" t="str">
        <f aca="false">IF(A200="","",SUMIFS('Food Log'!E:E,'Food Log'!A:A,A200))</f>
        <v/>
      </c>
      <c r="E200" s="11" t="str">
        <f aca="false">IF(A200="","",SUMIFS('Food Log'!F:F,'Food Log'!A:A,A200))</f>
        <v/>
      </c>
      <c r="F200" s="11" t="str">
        <f aca="false">IF(A200="","",SUMIFS('Food Log'!C:C,'Food Log'!A:A,A200,'Food Log'!G:G,"Yes*"))</f>
        <v/>
      </c>
      <c r="G200" s="11" t="str">
        <f aca="false">IF(A200="","",'Profile &amp; Targets'!$B$24)</f>
        <v/>
      </c>
      <c r="H200" s="11" t="str">
        <f aca="false">IF(A200="","",'Profile &amp; Targets'!$B$25)</f>
        <v/>
      </c>
      <c r="I200" s="11" t="str">
        <f aca="false">IF(A200="","",'Profile &amp; Targets'!$B$27)</f>
        <v/>
      </c>
      <c r="J200" s="11" t="str">
        <f aca="false">IF(A200="","",'Profile &amp; Targets'!$B$26)</f>
        <v/>
      </c>
      <c r="K200" s="11" t="str">
        <f aca="false">IF(A200="","",B200-G200)</f>
        <v/>
      </c>
      <c r="L200" s="11" t="str">
        <f aca="false">IF(A200="","",C200-H200)</f>
        <v/>
      </c>
      <c r="M200" s="11" t="str">
        <f aca="false">IF(A200="","",D200-I200)</f>
        <v/>
      </c>
      <c r="N200" s="11" t="str">
        <f aca="false">IF(A200="","",E200-J200)</f>
        <v/>
      </c>
    </row>
    <row r="201" customFormat="false" ht="15" hidden="false" customHeight="true" outlineLevel="0" collapsed="false">
      <c r="A201" s="10"/>
      <c r="B201" s="11" t="str">
        <f aca="false">IF(A201="","",SUMIFS('Food Log'!C:C,'Food Log'!A:A,A201))</f>
        <v/>
      </c>
      <c r="C201" s="11" t="str">
        <f aca="false">IF(A201="","",SUMIFS('Food Log'!D:D,'Food Log'!A:A,A201))</f>
        <v/>
      </c>
      <c r="D201" s="11" t="str">
        <f aca="false">IF(A201="","",SUMIFS('Food Log'!E:E,'Food Log'!A:A,A201))</f>
        <v/>
      </c>
      <c r="E201" s="11" t="str">
        <f aca="false">IF(A201="","",SUMIFS('Food Log'!F:F,'Food Log'!A:A,A201))</f>
        <v/>
      </c>
      <c r="F201" s="11" t="str">
        <f aca="false">IF(A201="","",SUMIFS('Food Log'!C:C,'Food Log'!A:A,A201,'Food Log'!G:G,"Yes*"))</f>
        <v/>
      </c>
      <c r="G201" s="11" t="str">
        <f aca="false">IF(A201="","",'Profile &amp; Targets'!$B$24)</f>
        <v/>
      </c>
      <c r="H201" s="11" t="str">
        <f aca="false">IF(A201="","",'Profile &amp; Targets'!$B$25)</f>
        <v/>
      </c>
      <c r="I201" s="11" t="str">
        <f aca="false">IF(A201="","",'Profile &amp; Targets'!$B$27)</f>
        <v/>
      </c>
      <c r="J201" s="11" t="str">
        <f aca="false">IF(A201="","",'Profile &amp; Targets'!$B$26)</f>
        <v/>
      </c>
      <c r="K201" s="11" t="str">
        <f aca="false">IF(A201="","",B201-G201)</f>
        <v/>
      </c>
      <c r="L201" s="11" t="str">
        <f aca="false">IF(A201="","",C201-H201)</f>
        <v/>
      </c>
      <c r="M201" s="11" t="str">
        <f aca="false">IF(A201="","",D201-I201)</f>
        <v/>
      </c>
      <c r="N201" s="11" t="str">
        <f aca="false">IF(A201="","",E201-J201)</f>
        <v/>
      </c>
    </row>
    <row r="202" customFormat="false" ht="15" hidden="false" customHeight="true" outlineLevel="0" collapsed="false">
      <c r="A202" s="10"/>
      <c r="B202" s="11" t="str">
        <f aca="false">IF(A202="","",SUMIFS('Food Log'!C:C,'Food Log'!A:A,A202))</f>
        <v/>
      </c>
      <c r="C202" s="11" t="str">
        <f aca="false">IF(A202="","",SUMIFS('Food Log'!D:D,'Food Log'!A:A,A202))</f>
        <v/>
      </c>
      <c r="D202" s="11" t="str">
        <f aca="false">IF(A202="","",SUMIFS('Food Log'!E:E,'Food Log'!A:A,A202))</f>
        <v/>
      </c>
      <c r="E202" s="11" t="str">
        <f aca="false">IF(A202="","",SUMIFS('Food Log'!F:F,'Food Log'!A:A,A202))</f>
        <v/>
      </c>
      <c r="F202" s="11" t="str">
        <f aca="false">IF(A202="","",SUMIFS('Food Log'!C:C,'Food Log'!A:A,A202,'Food Log'!G:G,"Yes*"))</f>
        <v/>
      </c>
      <c r="G202" s="11" t="str">
        <f aca="false">IF(A202="","",'Profile &amp; Targets'!$B$24)</f>
        <v/>
      </c>
      <c r="H202" s="11" t="str">
        <f aca="false">IF(A202="","",'Profile &amp; Targets'!$B$25)</f>
        <v/>
      </c>
      <c r="I202" s="11" t="str">
        <f aca="false">IF(A202="","",'Profile &amp; Targets'!$B$27)</f>
        <v/>
      </c>
      <c r="J202" s="11" t="str">
        <f aca="false">IF(A202="","",'Profile &amp; Targets'!$B$26)</f>
        <v/>
      </c>
      <c r="K202" s="11" t="str">
        <f aca="false">IF(A202="","",B202-G202)</f>
        <v/>
      </c>
      <c r="L202" s="11" t="str">
        <f aca="false">IF(A202="","",C202-H202)</f>
        <v/>
      </c>
      <c r="M202" s="11" t="str">
        <f aca="false">IF(A202="","",D202-I202)</f>
        <v/>
      </c>
      <c r="N202" s="11" t="str">
        <f aca="false">IF(A202="","",E202-J202)</f>
        <v/>
      </c>
    </row>
    <row r="203" customFormat="false" ht="15" hidden="false" customHeight="true" outlineLevel="0" collapsed="false">
      <c r="A203" s="10"/>
      <c r="B203" s="11" t="str">
        <f aca="false">IF(A203="","",SUMIFS('Food Log'!C:C,'Food Log'!A:A,A203))</f>
        <v/>
      </c>
      <c r="C203" s="11" t="str">
        <f aca="false">IF(A203="","",SUMIFS('Food Log'!D:D,'Food Log'!A:A,A203))</f>
        <v/>
      </c>
      <c r="D203" s="11" t="str">
        <f aca="false">IF(A203="","",SUMIFS('Food Log'!E:E,'Food Log'!A:A,A203))</f>
        <v/>
      </c>
      <c r="E203" s="11" t="str">
        <f aca="false">IF(A203="","",SUMIFS('Food Log'!F:F,'Food Log'!A:A,A203))</f>
        <v/>
      </c>
      <c r="F203" s="11" t="str">
        <f aca="false">IF(A203="","",SUMIFS('Food Log'!C:C,'Food Log'!A:A,A203,'Food Log'!G:G,"Yes*"))</f>
        <v/>
      </c>
      <c r="G203" s="11" t="str">
        <f aca="false">IF(A203="","",'Profile &amp; Targets'!$B$24)</f>
        <v/>
      </c>
      <c r="H203" s="11" t="str">
        <f aca="false">IF(A203="","",'Profile &amp; Targets'!$B$25)</f>
        <v/>
      </c>
      <c r="I203" s="11" t="str">
        <f aca="false">IF(A203="","",'Profile &amp; Targets'!$B$27)</f>
        <v/>
      </c>
      <c r="J203" s="11" t="str">
        <f aca="false">IF(A203="","",'Profile &amp; Targets'!$B$26)</f>
        <v/>
      </c>
      <c r="K203" s="11" t="str">
        <f aca="false">IF(A203="","",B203-G203)</f>
        <v/>
      </c>
      <c r="L203" s="11" t="str">
        <f aca="false">IF(A203="","",C203-H203)</f>
        <v/>
      </c>
      <c r="M203" s="11" t="str">
        <f aca="false">IF(A203="","",D203-I203)</f>
        <v/>
      </c>
      <c r="N203" s="11" t="str">
        <f aca="false">IF(A203="","",E203-J203)</f>
        <v/>
      </c>
    </row>
    <row r="204" customFormat="false" ht="15" hidden="false" customHeight="true" outlineLevel="0" collapsed="false">
      <c r="A204" s="10"/>
      <c r="B204" s="11" t="str">
        <f aca="false">IF(A204="","",SUMIFS('Food Log'!C:C,'Food Log'!A:A,A204))</f>
        <v/>
      </c>
      <c r="C204" s="11" t="str">
        <f aca="false">IF(A204="","",SUMIFS('Food Log'!D:D,'Food Log'!A:A,A204))</f>
        <v/>
      </c>
      <c r="D204" s="11" t="str">
        <f aca="false">IF(A204="","",SUMIFS('Food Log'!E:E,'Food Log'!A:A,A204))</f>
        <v/>
      </c>
      <c r="E204" s="11" t="str">
        <f aca="false">IF(A204="","",SUMIFS('Food Log'!F:F,'Food Log'!A:A,A204))</f>
        <v/>
      </c>
      <c r="F204" s="11" t="str">
        <f aca="false">IF(A204="","",SUMIFS('Food Log'!C:C,'Food Log'!A:A,A204,'Food Log'!G:G,"Yes*"))</f>
        <v/>
      </c>
      <c r="G204" s="11" t="str">
        <f aca="false">IF(A204="","",'Profile &amp; Targets'!$B$24)</f>
        <v/>
      </c>
      <c r="H204" s="11" t="str">
        <f aca="false">IF(A204="","",'Profile &amp; Targets'!$B$25)</f>
        <v/>
      </c>
      <c r="I204" s="11" t="str">
        <f aca="false">IF(A204="","",'Profile &amp; Targets'!$B$27)</f>
        <v/>
      </c>
      <c r="J204" s="11" t="str">
        <f aca="false">IF(A204="","",'Profile &amp; Targets'!$B$26)</f>
        <v/>
      </c>
      <c r="K204" s="11" t="str">
        <f aca="false">IF(A204="","",B204-G204)</f>
        <v/>
      </c>
      <c r="L204" s="11" t="str">
        <f aca="false">IF(A204="","",C204-H204)</f>
        <v/>
      </c>
      <c r="M204" s="11" t="str">
        <f aca="false">IF(A204="","",D204-I204)</f>
        <v/>
      </c>
      <c r="N204" s="11" t="str">
        <f aca="false">IF(A204="","",E204-J204)</f>
        <v/>
      </c>
    </row>
    <row r="205" customFormat="false" ht="15" hidden="false" customHeight="true" outlineLevel="0" collapsed="false">
      <c r="A205" s="10"/>
      <c r="B205" s="11" t="str">
        <f aca="false">IF(A205="","",SUMIFS('Food Log'!C:C,'Food Log'!A:A,A205))</f>
        <v/>
      </c>
      <c r="C205" s="11" t="str">
        <f aca="false">IF(A205="","",SUMIFS('Food Log'!D:D,'Food Log'!A:A,A205))</f>
        <v/>
      </c>
      <c r="D205" s="11" t="str">
        <f aca="false">IF(A205="","",SUMIFS('Food Log'!E:E,'Food Log'!A:A,A205))</f>
        <v/>
      </c>
      <c r="E205" s="11" t="str">
        <f aca="false">IF(A205="","",SUMIFS('Food Log'!F:F,'Food Log'!A:A,A205))</f>
        <v/>
      </c>
      <c r="F205" s="11" t="str">
        <f aca="false">IF(A205="","",SUMIFS('Food Log'!C:C,'Food Log'!A:A,A205,'Food Log'!G:G,"Yes*"))</f>
        <v/>
      </c>
      <c r="G205" s="11" t="str">
        <f aca="false">IF(A205="","",'Profile &amp; Targets'!$B$24)</f>
        <v/>
      </c>
      <c r="H205" s="11" t="str">
        <f aca="false">IF(A205="","",'Profile &amp; Targets'!$B$25)</f>
        <v/>
      </c>
      <c r="I205" s="11" t="str">
        <f aca="false">IF(A205="","",'Profile &amp; Targets'!$B$27)</f>
        <v/>
      </c>
      <c r="J205" s="11" t="str">
        <f aca="false">IF(A205="","",'Profile &amp; Targets'!$B$26)</f>
        <v/>
      </c>
      <c r="K205" s="11" t="str">
        <f aca="false">IF(A205="","",B205-G205)</f>
        <v/>
      </c>
      <c r="L205" s="11" t="str">
        <f aca="false">IF(A205="","",C205-H205)</f>
        <v/>
      </c>
      <c r="M205" s="11" t="str">
        <f aca="false">IF(A205="","",D205-I205)</f>
        <v/>
      </c>
      <c r="N205" s="11" t="str">
        <f aca="false">IF(A205="","",E205-J205)</f>
        <v/>
      </c>
    </row>
    <row r="206" customFormat="false" ht="15" hidden="false" customHeight="true" outlineLevel="0" collapsed="false">
      <c r="A206" s="10"/>
      <c r="B206" s="11" t="str">
        <f aca="false">IF(A206="","",SUMIFS('Food Log'!C:C,'Food Log'!A:A,A206))</f>
        <v/>
      </c>
      <c r="C206" s="11" t="str">
        <f aca="false">IF(A206="","",SUMIFS('Food Log'!D:D,'Food Log'!A:A,A206))</f>
        <v/>
      </c>
      <c r="D206" s="11" t="str">
        <f aca="false">IF(A206="","",SUMIFS('Food Log'!E:E,'Food Log'!A:A,A206))</f>
        <v/>
      </c>
      <c r="E206" s="11" t="str">
        <f aca="false">IF(A206="","",SUMIFS('Food Log'!F:F,'Food Log'!A:A,A206))</f>
        <v/>
      </c>
      <c r="F206" s="11" t="str">
        <f aca="false">IF(A206="","",SUMIFS('Food Log'!C:C,'Food Log'!A:A,A206,'Food Log'!G:G,"Yes*"))</f>
        <v/>
      </c>
      <c r="G206" s="11" t="str">
        <f aca="false">IF(A206="","",'Profile &amp; Targets'!$B$24)</f>
        <v/>
      </c>
      <c r="H206" s="11" t="str">
        <f aca="false">IF(A206="","",'Profile &amp; Targets'!$B$25)</f>
        <v/>
      </c>
      <c r="I206" s="11" t="str">
        <f aca="false">IF(A206="","",'Profile &amp; Targets'!$B$27)</f>
        <v/>
      </c>
      <c r="J206" s="11" t="str">
        <f aca="false">IF(A206="","",'Profile &amp; Targets'!$B$26)</f>
        <v/>
      </c>
      <c r="K206" s="11" t="str">
        <f aca="false">IF(A206="","",B206-G206)</f>
        <v/>
      </c>
      <c r="L206" s="11" t="str">
        <f aca="false">IF(A206="","",C206-H206)</f>
        <v/>
      </c>
      <c r="M206" s="11" t="str">
        <f aca="false">IF(A206="","",D206-I206)</f>
        <v/>
      </c>
      <c r="N206" s="11" t="str">
        <f aca="false">IF(A206="","",E206-J206)</f>
        <v/>
      </c>
    </row>
    <row r="207" customFormat="false" ht="15" hidden="false" customHeight="true" outlineLevel="0" collapsed="false">
      <c r="A207" s="10"/>
      <c r="B207" s="11" t="str">
        <f aca="false">IF(A207="","",SUMIFS('Food Log'!C:C,'Food Log'!A:A,A207))</f>
        <v/>
      </c>
      <c r="C207" s="11" t="str">
        <f aca="false">IF(A207="","",SUMIFS('Food Log'!D:D,'Food Log'!A:A,A207))</f>
        <v/>
      </c>
      <c r="D207" s="11" t="str">
        <f aca="false">IF(A207="","",SUMIFS('Food Log'!E:E,'Food Log'!A:A,A207))</f>
        <v/>
      </c>
      <c r="E207" s="11" t="str">
        <f aca="false">IF(A207="","",SUMIFS('Food Log'!F:F,'Food Log'!A:A,A207))</f>
        <v/>
      </c>
      <c r="F207" s="11" t="str">
        <f aca="false">IF(A207="","",SUMIFS('Food Log'!C:C,'Food Log'!A:A,A207,'Food Log'!G:G,"Yes*"))</f>
        <v/>
      </c>
      <c r="G207" s="11" t="str">
        <f aca="false">IF(A207="","",'Profile &amp; Targets'!$B$24)</f>
        <v/>
      </c>
      <c r="H207" s="11" t="str">
        <f aca="false">IF(A207="","",'Profile &amp; Targets'!$B$25)</f>
        <v/>
      </c>
      <c r="I207" s="11" t="str">
        <f aca="false">IF(A207="","",'Profile &amp; Targets'!$B$27)</f>
        <v/>
      </c>
      <c r="J207" s="11" t="str">
        <f aca="false">IF(A207="","",'Profile &amp; Targets'!$B$26)</f>
        <v/>
      </c>
      <c r="K207" s="11" t="str">
        <f aca="false">IF(A207="","",B207-G207)</f>
        <v/>
      </c>
      <c r="L207" s="11" t="str">
        <f aca="false">IF(A207="","",C207-H207)</f>
        <v/>
      </c>
      <c r="M207" s="11" t="str">
        <f aca="false">IF(A207="","",D207-I207)</f>
        <v/>
      </c>
      <c r="N207" s="11" t="str">
        <f aca="false">IF(A207="","",E207-J207)</f>
        <v/>
      </c>
    </row>
    <row r="208" customFormat="false" ht="15" hidden="false" customHeight="true" outlineLevel="0" collapsed="false">
      <c r="A208" s="10"/>
      <c r="B208" s="11" t="str">
        <f aca="false">IF(A208="","",SUMIFS('Food Log'!C:C,'Food Log'!A:A,A208))</f>
        <v/>
      </c>
      <c r="C208" s="11" t="str">
        <f aca="false">IF(A208="","",SUMIFS('Food Log'!D:D,'Food Log'!A:A,A208))</f>
        <v/>
      </c>
      <c r="D208" s="11" t="str">
        <f aca="false">IF(A208="","",SUMIFS('Food Log'!E:E,'Food Log'!A:A,A208))</f>
        <v/>
      </c>
      <c r="E208" s="11" t="str">
        <f aca="false">IF(A208="","",SUMIFS('Food Log'!F:F,'Food Log'!A:A,A208))</f>
        <v/>
      </c>
      <c r="F208" s="11" t="str">
        <f aca="false">IF(A208="","",SUMIFS('Food Log'!C:C,'Food Log'!A:A,A208,'Food Log'!G:G,"Yes*"))</f>
        <v/>
      </c>
      <c r="G208" s="11" t="str">
        <f aca="false">IF(A208="","",'Profile &amp; Targets'!$B$24)</f>
        <v/>
      </c>
      <c r="H208" s="11" t="str">
        <f aca="false">IF(A208="","",'Profile &amp; Targets'!$B$25)</f>
        <v/>
      </c>
      <c r="I208" s="11" t="str">
        <f aca="false">IF(A208="","",'Profile &amp; Targets'!$B$27)</f>
        <v/>
      </c>
      <c r="J208" s="11" t="str">
        <f aca="false">IF(A208="","",'Profile &amp; Targets'!$B$26)</f>
        <v/>
      </c>
      <c r="K208" s="11" t="str">
        <f aca="false">IF(A208="","",B208-G208)</f>
        <v/>
      </c>
      <c r="L208" s="11" t="str">
        <f aca="false">IF(A208="","",C208-H208)</f>
        <v/>
      </c>
      <c r="M208" s="11" t="str">
        <f aca="false">IF(A208="","",D208-I208)</f>
        <v/>
      </c>
      <c r="N208" s="11" t="str">
        <f aca="false">IF(A208="","",E208-J208)</f>
        <v/>
      </c>
    </row>
    <row r="209" customFormat="false" ht="15" hidden="false" customHeight="true" outlineLevel="0" collapsed="false">
      <c r="A209" s="10"/>
      <c r="B209" s="11" t="str">
        <f aca="false">IF(A209="","",SUMIFS('Food Log'!C:C,'Food Log'!A:A,A209))</f>
        <v/>
      </c>
      <c r="C209" s="11" t="str">
        <f aca="false">IF(A209="","",SUMIFS('Food Log'!D:D,'Food Log'!A:A,A209))</f>
        <v/>
      </c>
      <c r="D209" s="11" t="str">
        <f aca="false">IF(A209="","",SUMIFS('Food Log'!E:E,'Food Log'!A:A,A209))</f>
        <v/>
      </c>
      <c r="E209" s="11" t="str">
        <f aca="false">IF(A209="","",SUMIFS('Food Log'!F:F,'Food Log'!A:A,A209))</f>
        <v/>
      </c>
      <c r="F209" s="11" t="str">
        <f aca="false">IF(A209="","",SUMIFS('Food Log'!C:C,'Food Log'!A:A,A209,'Food Log'!G:G,"Yes*"))</f>
        <v/>
      </c>
      <c r="G209" s="11" t="str">
        <f aca="false">IF(A209="","",'Profile &amp; Targets'!$B$24)</f>
        <v/>
      </c>
      <c r="H209" s="11" t="str">
        <f aca="false">IF(A209="","",'Profile &amp; Targets'!$B$25)</f>
        <v/>
      </c>
      <c r="I209" s="11" t="str">
        <f aca="false">IF(A209="","",'Profile &amp; Targets'!$B$27)</f>
        <v/>
      </c>
      <c r="J209" s="11" t="str">
        <f aca="false">IF(A209="","",'Profile &amp; Targets'!$B$26)</f>
        <v/>
      </c>
      <c r="K209" s="11" t="str">
        <f aca="false">IF(A209="","",B209-G209)</f>
        <v/>
      </c>
      <c r="L209" s="11" t="str">
        <f aca="false">IF(A209="","",C209-H209)</f>
        <v/>
      </c>
      <c r="M209" s="11" t="str">
        <f aca="false">IF(A209="","",D209-I209)</f>
        <v/>
      </c>
      <c r="N209" s="11" t="str">
        <f aca="false">IF(A209="","",E209-J209)</f>
        <v/>
      </c>
    </row>
    <row r="210" customFormat="false" ht="15" hidden="false" customHeight="true" outlineLevel="0" collapsed="false">
      <c r="A210" s="10"/>
      <c r="B210" s="11" t="str">
        <f aca="false">IF(A210="","",SUMIFS('Food Log'!C:C,'Food Log'!A:A,A210))</f>
        <v/>
      </c>
      <c r="C210" s="11" t="str">
        <f aca="false">IF(A210="","",SUMIFS('Food Log'!D:D,'Food Log'!A:A,A210))</f>
        <v/>
      </c>
      <c r="D210" s="11" t="str">
        <f aca="false">IF(A210="","",SUMIFS('Food Log'!E:E,'Food Log'!A:A,A210))</f>
        <v/>
      </c>
      <c r="E210" s="11" t="str">
        <f aca="false">IF(A210="","",SUMIFS('Food Log'!F:F,'Food Log'!A:A,A210))</f>
        <v/>
      </c>
      <c r="F210" s="11" t="str">
        <f aca="false">IF(A210="","",SUMIFS('Food Log'!C:C,'Food Log'!A:A,A210,'Food Log'!G:G,"Yes*"))</f>
        <v/>
      </c>
      <c r="G210" s="11" t="str">
        <f aca="false">IF(A210="","",'Profile &amp; Targets'!$B$24)</f>
        <v/>
      </c>
      <c r="H210" s="11" t="str">
        <f aca="false">IF(A210="","",'Profile &amp; Targets'!$B$25)</f>
        <v/>
      </c>
      <c r="I210" s="11" t="str">
        <f aca="false">IF(A210="","",'Profile &amp; Targets'!$B$27)</f>
        <v/>
      </c>
      <c r="J210" s="11" t="str">
        <f aca="false">IF(A210="","",'Profile &amp; Targets'!$B$26)</f>
        <v/>
      </c>
      <c r="K210" s="11" t="str">
        <f aca="false">IF(A210="","",B210-G210)</f>
        <v/>
      </c>
      <c r="L210" s="11" t="str">
        <f aca="false">IF(A210="","",C210-H210)</f>
        <v/>
      </c>
      <c r="M210" s="11" t="str">
        <f aca="false">IF(A210="","",D210-I210)</f>
        <v/>
      </c>
      <c r="N210" s="11" t="str">
        <f aca="false">IF(A210="","",E210-J210)</f>
        <v/>
      </c>
    </row>
    <row r="211" customFormat="false" ht="15" hidden="false" customHeight="true" outlineLevel="0" collapsed="false">
      <c r="A211" s="10"/>
      <c r="B211" s="11" t="str">
        <f aca="false">IF(A211="","",SUMIFS('Food Log'!C:C,'Food Log'!A:A,A211))</f>
        <v/>
      </c>
      <c r="C211" s="11" t="str">
        <f aca="false">IF(A211="","",SUMIFS('Food Log'!D:D,'Food Log'!A:A,A211))</f>
        <v/>
      </c>
      <c r="D211" s="11" t="str">
        <f aca="false">IF(A211="","",SUMIFS('Food Log'!E:E,'Food Log'!A:A,A211))</f>
        <v/>
      </c>
      <c r="E211" s="11" t="str">
        <f aca="false">IF(A211="","",SUMIFS('Food Log'!F:F,'Food Log'!A:A,A211))</f>
        <v/>
      </c>
      <c r="F211" s="11" t="str">
        <f aca="false">IF(A211="","",SUMIFS('Food Log'!C:C,'Food Log'!A:A,A211,'Food Log'!G:G,"Yes*"))</f>
        <v/>
      </c>
      <c r="G211" s="11" t="str">
        <f aca="false">IF(A211="","",'Profile &amp; Targets'!$B$24)</f>
        <v/>
      </c>
      <c r="H211" s="11" t="str">
        <f aca="false">IF(A211="","",'Profile &amp; Targets'!$B$25)</f>
        <v/>
      </c>
      <c r="I211" s="11" t="str">
        <f aca="false">IF(A211="","",'Profile &amp; Targets'!$B$27)</f>
        <v/>
      </c>
      <c r="J211" s="11" t="str">
        <f aca="false">IF(A211="","",'Profile &amp; Targets'!$B$26)</f>
        <v/>
      </c>
      <c r="K211" s="11" t="str">
        <f aca="false">IF(A211="","",B211-G211)</f>
        <v/>
      </c>
      <c r="L211" s="11" t="str">
        <f aca="false">IF(A211="","",C211-H211)</f>
        <v/>
      </c>
      <c r="M211" s="11" t="str">
        <f aca="false">IF(A211="","",D211-I211)</f>
        <v/>
      </c>
      <c r="N211" s="11" t="str">
        <f aca="false">IF(A211="","",E211-J211)</f>
        <v/>
      </c>
    </row>
    <row r="212" customFormat="false" ht="15" hidden="false" customHeight="true" outlineLevel="0" collapsed="false">
      <c r="A212" s="10"/>
      <c r="B212" s="11" t="str">
        <f aca="false">IF(A212="","",SUMIFS('Food Log'!C:C,'Food Log'!A:A,A212))</f>
        <v/>
      </c>
      <c r="C212" s="11" t="str">
        <f aca="false">IF(A212="","",SUMIFS('Food Log'!D:D,'Food Log'!A:A,A212))</f>
        <v/>
      </c>
      <c r="D212" s="11" t="str">
        <f aca="false">IF(A212="","",SUMIFS('Food Log'!E:E,'Food Log'!A:A,A212))</f>
        <v/>
      </c>
      <c r="E212" s="11" t="str">
        <f aca="false">IF(A212="","",SUMIFS('Food Log'!F:F,'Food Log'!A:A,A212))</f>
        <v/>
      </c>
      <c r="F212" s="11" t="str">
        <f aca="false">IF(A212="","",SUMIFS('Food Log'!C:C,'Food Log'!A:A,A212,'Food Log'!G:G,"Yes*"))</f>
        <v/>
      </c>
      <c r="G212" s="11" t="str">
        <f aca="false">IF(A212="","",'Profile &amp; Targets'!$B$24)</f>
        <v/>
      </c>
      <c r="H212" s="11" t="str">
        <f aca="false">IF(A212="","",'Profile &amp; Targets'!$B$25)</f>
        <v/>
      </c>
      <c r="I212" s="11" t="str">
        <f aca="false">IF(A212="","",'Profile &amp; Targets'!$B$27)</f>
        <v/>
      </c>
      <c r="J212" s="11" t="str">
        <f aca="false">IF(A212="","",'Profile &amp; Targets'!$B$26)</f>
        <v/>
      </c>
      <c r="K212" s="11" t="str">
        <f aca="false">IF(A212="","",B212-G212)</f>
        <v/>
      </c>
      <c r="L212" s="11" t="str">
        <f aca="false">IF(A212="","",C212-H212)</f>
        <v/>
      </c>
      <c r="M212" s="11" t="str">
        <f aca="false">IF(A212="","",D212-I212)</f>
        <v/>
      </c>
      <c r="N212" s="11" t="str">
        <f aca="false">IF(A212="","",E212-J212)</f>
        <v/>
      </c>
    </row>
    <row r="213" customFormat="false" ht="15" hidden="false" customHeight="true" outlineLevel="0" collapsed="false">
      <c r="A213" s="10"/>
      <c r="B213" s="11" t="str">
        <f aca="false">IF(A213="","",SUMIFS('Food Log'!C:C,'Food Log'!A:A,A213))</f>
        <v/>
      </c>
      <c r="C213" s="11" t="str">
        <f aca="false">IF(A213="","",SUMIFS('Food Log'!D:D,'Food Log'!A:A,A213))</f>
        <v/>
      </c>
      <c r="D213" s="11" t="str">
        <f aca="false">IF(A213="","",SUMIFS('Food Log'!E:E,'Food Log'!A:A,A213))</f>
        <v/>
      </c>
      <c r="E213" s="11" t="str">
        <f aca="false">IF(A213="","",SUMIFS('Food Log'!F:F,'Food Log'!A:A,A213))</f>
        <v/>
      </c>
      <c r="F213" s="11" t="str">
        <f aca="false">IF(A213="","",SUMIFS('Food Log'!C:C,'Food Log'!A:A,A213,'Food Log'!G:G,"Yes*"))</f>
        <v/>
      </c>
      <c r="G213" s="11" t="str">
        <f aca="false">IF(A213="","",'Profile &amp; Targets'!$B$24)</f>
        <v/>
      </c>
      <c r="H213" s="11" t="str">
        <f aca="false">IF(A213="","",'Profile &amp; Targets'!$B$25)</f>
        <v/>
      </c>
      <c r="I213" s="11" t="str">
        <f aca="false">IF(A213="","",'Profile &amp; Targets'!$B$27)</f>
        <v/>
      </c>
      <c r="J213" s="11" t="str">
        <f aca="false">IF(A213="","",'Profile &amp; Targets'!$B$26)</f>
        <v/>
      </c>
      <c r="K213" s="11" t="str">
        <f aca="false">IF(A213="","",B213-G213)</f>
        <v/>
      </c>
      <c r="L213" s="11" t="str">
        <f aca="false">IF(A213="","",C213-H213)</f>
        <v/>
      </c>
      <c r="M213" s="11" t="str">
        <f aca="false">IF(A213="","",D213-I213)</f>
        <v/>
      </c>
      <c r="N213" s="11" t="str">
        <f aca="false">IF(A213="","",E213-J213)</f>
        <v/>
      </c>
    </row>
    <row r="214" customFormat="false" ht="15" hidden="false" customHeight="true" outlineLevel="0" collapsed="false">
      <c r="A214" s="10"/>
      <c r="B214" s="11" t="str">
        <f aca="false">IF(A214="","",SUMIFS('Food Log'!C:C,'Food Log'!A:A,A214))</f>
        <v/>
      </c>
      <c r="C214" s="11" t="str">
        <f aca="false">IF(A214="","",SUMIFS('Food Log'!D:D,'Food Log'!A:A,A214))</f>
        <v/>
      </c>
      <c r="D214" s="11" t="str">
        <f aca="false">IF(A214="","",SUMIFS('Food Log'!E:E,'Food Log'!A:A,A214))</f>
        <v/>
      </c>
      <c r="E214" s="11" t="str">
        <f aca="false">IF(A214="","",SUMIFS('Food Log'!F:F,'Food Log'!A:A,A214))</f>
        <v/>
      </c>
      <c r="F214" s="11" t="str">
        <f aca="false">IF(A214="","",SUMIFS('Food Log'!C:C,'Food Log'!A:A,A214,'Food Log'!G:G,"Yes*"))</f>
        <v/>
      </c>
      <c r="G214" s="11" t="str">
        <f aca="false">IF(A214="","",'Profile &amp; Targets'!$B$24)</f>
        <v/>
      </c>
      <c r="H214" s="11" t="str">
        <f aca="false">IF(A214="","",'Profile &amp; Targets'!$B$25)</f>
        <v/>
      </c>
      <c r="I214" s="11" t="str">
        <f aca="false">IF(A214="","",'Profile &amp; Targets'!$B$27)</f>
        <v/>
      </c>
      <c r="J214" s="11" t="str">
        <f aca="false">IF(A214="","",'Profile &amp; Targets'!$B$26)</f>
        <v/>
      </c>
      <c r="K214" s="11" t="str">
        <f aca="false">IF(A214="","",B214-G214)</f>
        <v/>
      </c>
      <c r="L214" s="11" t="str">
        <f aca="false">IF(A214="","",C214-H214)</f>
        <v/>
      </c>
      <c r="M214" s="11" t="str">
        <f aca="false">IF(A214="","",D214-I214)</f>
        <v/>
      </c>
      <c r="N214" s="11" t="str">
        <f aca="false">IF(A214="","",E214-J214)</f>
        <v/>
      </c>
    </row>
    <row r="215" customFormat="false" ht="15" hidden="false" customHeight="true" outlineLevel="0" collapsed="false">
      <c r="A215" s="10"/>
      <c r="B215" s="11" t="str">
        <f aca="false">IF(A215="","",SUMIFS('Food Log'!C:C,'Food Log'!A:A,A215))</f>
        <v/>
      </c>
      <c r="C215" s="11" t="str">
        <f aca="false">IF(A215="","",SUMIFS('Food Log'!D:D,'Food Log'!A:A,A215))</f>
        <v/>
      </c>
      <c r="D215" s="11" t="str">
        <f aca="false">IF(A215="","",SUMIFS('Food Log'!E:E,'Food Log'!A:A,A215))</f>
        <v/>
      </c>
      <c r="E215" s="11" t="str">
        <f aca="false">IF(A215="","",SUMIFS('Food Log'!F:F,'Food Log'!A:A,A215))</f>
        <v/>
      </c>
      <c r="F215" s="11" t="str">
        <f aca="false">IF(A215="","",SUMIFS('Food Log'!C:C,'Food Log'!A:A,A215,'Food Log'!G:G,"Yes*"))</f>
        <v/>
      </c>
      <c r="G215" s="11" t="str">
        <f aca="false">IF(A215="","",'Profile &amp; Targets'!$B$24)</f>
        <v/>
      </c>
      <c r="H215" s="11" t="str">
        <f aca="false">IF(A215="","",'Profile &amp; Targets'!$B$25)</f>
        <v/>
      </c>
      <c r="I215" s="11" t="str">
        <f aca="false">IF(A215="","",'Profile &amp; Targets'!$B$27)</f>
        <v/>
      </c>
      <c r="J215" s="11" t="str">
        <f aca="false">IF(A215="","",'Profile &amp; Targets'!$B$26)</f>
        <v/>
      </c>
      <c r="K215" s="11" t="str">
        <f aca="false">IF(A215="","",B215-G215)</f>
        <v/>
      </c>
      <c r="L215" s="11" t="str">
        <f aca="false">IF(A215="","",C215-H215)</f>
        <v/>
      </c>
      <c r="M215" s="11" t="str">
        <f aca="false">IF(A215="","",D215-I215)</f>
        <v/>
      </c>
      <c r="N215" s="11" t="str">
        <f aca="false">IF(A215="","",E215-J215)</f>
        <v/>
      </c>
    </row>
    <row r="216" customFormat="false" ht="15" hidden="false" customHeight="true" outlineLevel="0" collapsed="false">
      <c r="A216" s="10"/>
      <c r="B216" s="11" t="str">
        <f aca="false">IF(A216="","",SUMIFS('Food Log'!C:C,'Food Log'!A:A,A216))</f>
        <v/>
      </c>
      <c r="C216" s="11" t="str">
        <f aca="false">IF(A216="","",SUMIFS('Food Log'!D:D,'Food Log'!A:A,A216))</f>
        <v/>
      </c>
      <c r="D216" s="11" t="str">
        <f aca="false">IF(A216="","",SUMIFS('Food Log'!E:E,'Food Log'!A:A,A216))</f>
        <v/>
      </c>
      <c r="E216" s="11" t="str">
        <f aca="false">IF(A216="","",SUMIFS('Food Log'!F:F,'Food Log'!A:A,A216))</f>
        <v/>
      </c>
      <c r="F216" s="11" t="str">
        <f aca="false">IF(A216="","",SUMIFS('Food Log'!C:C,'Food Log'!A:A,A216,'Food Log'!G:G,"Yes*"))</f>
        <v/>
      </c>
      <c r="G216" s="11" t="str">
        <f aca="false">IF(A216="","",'Profile &amp; Targets'!$B$24)</f>
        <v/>
      </c>
      <c r="H216" s="11" t="str">
        <f aca="false">IF(A216="","",'Profile &amp; Targets'!$B$25)</f>
        <v/>
      </c>
      <c r="I216" s="11" t="str">
        <f aca="false">IF(A216="","",'Profile &amp; Targets'!$B$27)</f>
        <v/>
      </c>
      <c r="J216" s="11" t="str">
        <f aca="false">IF(A216="","",'Profile &amp; Targets'!$B$26)</f>
        <v/>
      </c>
      <c r="K216" s="11" t="str">
        <f aca="false">IF(A216="","",B216-G216)</f>
        <v/>
      </c>
      <c r="L216" s="11" t="str">
        <f aca="false">IF(A216="","",C216-H216)</f>
        <v/>
      </c>
      <c r="M216" s="11" t="str">
        <f aca="false">IF(A216="","",D216-I216)</f>
        <v/>
      </c>
      <c r="N216" s="11" t="str">
        <f aca="false">IF(A216="","",E216-J216)</f>
        <v/>
      </c>
    </row>
    <row r="217" customFormat="false" ht="15" hidden="false" customHeight="true" outlineLevel="0" collapsed="false">
      <c r="A217" s="10"/>
      <c r="B217" s="11" t="str">
        <f aca="false">IF(A217="","",SUMIFS('Food Log'!C:C,'Food Log'!A:A,A217))</f>
        <v/>
      </c>
      <c r="C217" s="11" t="str">
        <f aca="false">IF(A217="","",SUMIFS('Food Log'!D:D,'Food Log'!A:A,A217))</f>
        <v/>
      </c>
      <c r="D217" s="11" t="str">
        <f aca="false">IF(A217="","",SUMIFS('Food Log'!E:E,'Food Log'!A:A,A217))</f>
        <v/>
      </c>
      <c r="E217" s="11" t="str">
        <f aca="false">IF(A217="","",SUMIFS('Food Log'!F:F,'Food Log'!A:A,A217))</f>
        <v/>
      </c>
      <c r="F217" s="11" t="str">
        <f aca="false">IF(A217="","",SUMIFS('Food Log'!C:C,'Food Log'!A:A,A217,'Food Log'!G:G,"Yes*"))</f>
        <v/>
      </c>
      <c r="G217" s="11" t="str">
        <f aca="false">IF(A217="","",'Profile &amp; Targets'!$B$24)</f>
        <v/>
      </c>
      <c r="H217" s="11" t="str">
        <f aca="false">IF(A217="","",'Profile &amp; Targets'!$B$25)</f>
        <v/>
      </c>
      <c r="I217" s="11" t="str">
        <f aca="false">IF(A217="","",'Profile &amp; Targets'!$B$27)</f>
        <v/>
      </c>
      <c r="J217" s="11" t="str">
        <f aca="false">IF(A217="","",'Profile &amp; Targets'!$B$26)</f>
        <v/>
      </c>
      <c r="K217" s="11" t="str">
        <f aca="false">IF(A217="","",B217-G217)</f>
        <v/>
      </c>
      <c r="L217" s="11" t="str">
        <f aca="false">IF(A217="","",C217-H217)</f>
        <v/>
      </c>
      <c r="M217" s="11" t="str">
        <f aca="false">IF(A217="","",D217-I217)</f>
        <v/>
      </c>
      <c r="N217" s="11" t="str">
        <f aca="false">IF(A217="","",E217-J217)</f>
        <v/>
      </c>
    </row>
    <row r="218" customFormat="false" ht="15" hidden="false" customHeight="true" outlineLevel="0" collapsed="false">
      <c r="A218" s="10"/>
      <c r="B218" s="11" t="str">
        <f aca="false">IF(A218="","",SUMIFS('Food Log'!C:C,'Food Log'!A:A,A218))</f>
        <v/>
      </c>
      <c r="C218" s="11" t="str">
        <f aca="false">IF(A218="","",SUMIFS('Food Log'!D:D,'Food Log'!A:A,A218))</f>
        <v/>
      </c>
      <c r="D218" s="11" t="str">
        <f aca="false">IF(A218="","",SUMIFS('Food Log'!E:E,'Food Log'!A:A,A218))</f>
        <v/>
      </c>
      <c r="E218" s="11" t="str">
        <f aca="false">IF(A218="","",SUMIFS('Food Log'!F:F,'Food Log'!A:A,A218))</f>
        <v/>
      </c>
      <c r="F218" s="11" t="str">
        <f aca="false">IF(A218="","",SUMIFS('Food Log'!C:C,'Food Log'!A:A,A218,'Food Log'!G:G,"Yes*"))</f>
        <v/>
      </c>
      <c r="G218" s="11" t="str">
        <f aca="false">IF(A218="","",'Profile &amp; Targets'!$B$24)</f>
        <v/>
      </c>
      <c r="H218" s="11" t="str">
        <f aca="false">IF(A218="","",'Profile &amp; Targets'!$B$25)</f>
        <v/>
      </c>
      <c r="I218" s="11" t="str">
        <f aca="false">IF(A218="","",'Profile &amp; Targets'!$B$27)</f>
        <v/>
      </c>
      <c r="J218" s="11" t="str">
        <f aca="false">IF(A218="","",'Profile &amp; Targets'!$B$26)</f>
        <v/>
      </c>
      <c r="K218" s="11" t="str">
        <f aca="false">IF(A218="","",B218-G218)</f>
        <v/>
      </c>
      <c r="L218" s="11" t="str">
        <f aca="false">IF(A218="","",C218-H218)</f>
        <v/>
      </c>
      <c r="M218" s="11" t="str">
        <f aca="false">IF(A218="","",D218-I218)</f>
        <v/>
      </c>
      <c r="N218" s="11" t="str">
        <f aca="false">IF(A218="","",E218-J218)</f>
        <v/>
      </c>
    </row>
    <row r="219" customFormat="false" ht="15" hidden="false" customHeight="true" outlineLevel="0" collapsed="false">
      <c r="A219" s="10"/>
      <c r="B219" s="11" t="str">
        <f aca="false">IF(A219="","",SUMIFS('Food Log'!C:C,'Food Log'!A:A,A219))</f>
        <v/>
      </c>
      <c r="C219" s="11" t="str">
        <f aca="false">IF(A219="","",SUMIFS('Food Log'!D:D,'Food Log'!A:A,A219))</f>
        <v/>
      </c>
      <c r="D219" s="11" t="str">
        <f aca="false">IF(A219="","",SUMIFS('Food Log'!E:E,'Food Log'!A:A,A219))</f>
        <v/>
      </c>
      <c r="E219" s="11" t="str">
        <f aca="false">IF(A219="","",SUMIFS('Food Log'!F:F,'Food Log'!A:A,A219))</f>
        <v/>
      </c>
      <c r="F219" s="11" t="str">
        <f aca="false">IF(A219="","",SUMIFS('Food Log'!C:C,'Food Log'!A:A,A219,'Food Log'!G:G,"Yes*"))</f>
        <v/>
      </c>
      <c r="G219" s="11" t="str">
        <f aca="false">IF(A219="","",'Profile &amp; Targets'!$B$24)</f>
        <v/>
      </c>
      <c r="H219" s="11" t="str">
        <f aca="false">IF(A219="","",'Profile &amp; Targets'!$B$25)</f>
        <v/>
      </c>
      <c r="I219" s="11" t="str">
        <f aca="false">IF(A219="","",'Profile &amp; Targets'!$B$27)</f>
        <v/>
      </c>
      <c r="J219" s="11" t="str">
        <f aca="false">IF(A219="","",'Profile &amp; Targets'!$B$26)</f>
        <v/>
      </c>
      <c r="K219" s="11" t="str">
        <f aca="false">IF(A219="","",B219-G219)</f>
        <v/>
      </c>
      <c r="L219" s="11" t="str">
        <f aca="false">IF(A219="","",C219-H219)</f>
        <v/>
      </c>
      <c r="M219" s="11" t="str">
        <f aca="false">IF(A219="","",D219-I219)</f>
        <v/>
      </c>
      <c r="N219" s="11" t="str">
        <f aca="false">IF(A219="","",E219-J219)</f>
        <v/>
      </c>
    </row>
    <row r="220" customFormat="false" ht="15" hidden="false" customHeight="true" outlineLevel="0" collapsed="false">
      <c r="A220" s="10"/>
      <c r="B220" s="11" t="str">
        <f aca="false">IF(A220="","",SUMIFS('Food Log'!C:C,'Food Log'!A:A,A220))</f>
        <v/>
      </c>
      <c r="C220" s="11" t="str">
        <f aca="false">IF(A220="","",SUMIFS('Food Log'!D:D,'Food Log'!A:A,A220))</f>
        <v/>
      </c>
      <c r="D220" s="11" t="str">
        <f aca="false">IF(A220="","",SUMIFS('Food Log'!E:E,'Food Log'!A:A,A220))</f>
        <v/>
      </c>
      <c r="E220" s="11" t="str">
        <f aca="false">IF(A220="","",SUMIFS('Food Log'!F:F,'Food Log'!A:A,A220))</f>
        <v/>
      </c>
      <c r="F220" s="11" t="str">
        <f aca="false">IF(A220="","",SUMIFS('Food Log'!C:C,'Food Log'!A:A,A220,'Food Log'!G:G,"Yes*"))</f>
        <v/>
      </c>
      <c r="G220" s="11" t="str">
        <f aca="false">IF(A220="","",'Profile &amp; Targets'!$B$24)</f>
        <v/>
      </c>
      <c r="H220" s="11" t="str">
        <f aca="false">IF(A220="","",'Profile &amp; Targets'!$B$25)</f>
        <v/>
      </c>
      <c r="I220" s="11" t="str">
        <f aca="false">IF(A220="","",'Profile &amp; Targets'!$B$27)</f>
        <v/>
      </c>
      <c r="J220" s="11" t="str">
        <f aca="false">IF(A220="","",'Profile &amp; Targets'!$B$26)</f>
        <v/>
      </c>
      <c r="K220" s="11" t="str">
        <f aca="false">IF(A220="","",B220-G220)</f>
        <v/>
      </c>
      <c r="L220" s="11" t="str">
        <f aca="false">IF(A220="","",C220-H220)</f>
        <v/>
      </c>
      <c r="M220" s="11" t="str">
        <f aca="false">IF(A220="","",D220-I220)</f>
        <v/>
      </c>
      <c r="N220" s="11" t="str">
        <f aca="false">IF(A220="","",E220-J220)</f>
        <v/>
      </c>
    </row>
    <row r="221" customFormat="false" ht="15" hidden="false" customHeight="true" outlineLevel="0" collapsed="false">
      <c r="A221" s="10"/>
      <c r="B221" s="11" t="str">
        <f aca="false">IF(A221="","",SUMIFS('Food Log'!C:C,'Food Log'!A:A,A221))</f>
        <v/>
      </c>
      <c r="C221" s="11" t="str">
        <f aca="false">IF(A221="","",SUMIFS('Food Log'!D:D,'Food Log'!A:A,A221))</f>
        <v/>
      </c>
      <c r="D221" s="11" t="str">
        <f aca="false">IF(A221="","",SUMIFS('Food Log'!E:E,'Food Log'!A:A,A221))</f>
        <v/>
      </c>
      <c r="E221" s="11" t="str">
        <f aca="false">IF(A221="","",SUMIFS('Food Log'!F:F,'Food Log'!A:A,A221))</f>
        <v/>
      </c>
      <c r="F221" s="11" t="str">
        <f aca="false">IF(A221="","",SUMIFS('Food Log'!C:C,'Food Log'!A:A,A221,'Food Log'!G:G,"Yes*"))</f>
        <v/>
      </c>
      <c r="G221" s="11" t="str">
        <f aca="false">IF(A221="","",'Profile &amp; Targets'!$B$24)</f>
        <v/>
      </c>
      <c r="H221" s="11" t="str">
        <f aca="false">IF(A221="","",'Profile &amp; Targets'!$B$25)</f>
        <v/>
      </c>
      <c r="I221" s="11" t="str">
        <f aca="false">IF(A221="","",'Profile &amp; Targets'!$B$27)</f>
        <v/>
      </c>
      <c r="J221" s="11" t="str">
        <f aca="false">IF(A221="","",'Profile &amp; Targets'!$B$26)</f>
        <v/>
      </c>
      <c r="K221" s="11" t="str">
        <f aca="false">IF(A221="","",B221-G221)</f>
        <v/>
      </c>
      <c r="L221" s="11" t="str">
        <f aca="false">IF(A221="","",C221-H221)</f>
        <v/>
      </c>
      <c r="M221" s="11" t="str">
        <f aca="false">IF(A221="","",D221-I221)</f>
        <v/>
      </c>
      <c r="N221" s="11" t="str">
        <f aca="false">IF(A221="","",E221-J221)</f>
        <v/>
      </c>
    </row>
    <row r="222" customFormat="false" ht="15" hidden="false" customHeight="true" outlineLevel="0" collapsed="false">
      <c r="A222" s="10"/>
      <c r="B222" s="11" t="str">
        <f aca="false">IF(A222="","",SUMIFS('Food Log'!C:C,'Food Log'!A:A,A222))</f>
        <v/>
      </c>
      <c r="C222" s="11" t="str">
        <f aca="false">IF(A222="","",SUMIFS('Food Log'!D:D,'Food Log'!A:A,A222))</f>
        <v/>
      </c>
      <c r="D222" s="11" t="str">
        <f aca="false">IF(A222="","",SUMIFS('Food Log'!E:E,'Food Log'!A:A,A222))</f>
        <v/>
      </c>
      <c r="E222" s="11" t="str">
        <f aca="false">IF(A222="","",SUMIFS('Food Log'!F:F,'Food Log'!A:A,A222))</f>
        <v/>
      </c>
      <c r="F222" s="11" t="str">
        <f aca="false">IF(A222="","",SUMIFS('Food Log'!C:C,'Food Log'!A:A,A222,'Food Log'!G:G,"Yes*"))</f>
        <v/>
      </c>
      <c r="G222" s="11" t="str">
        <f aca="false">IF(A222="","",'Profile &amp; Targets'!$B$24)</f>
        <v/>
      </c>
      <c r="H222" s="11" t="str">
        <f aca="false">IF(A222="","",'Profile &amp; Targets'!$B$25)</f>
        <v/>
      </c>
      <c r="I222" s="11" t="str">
        <f aca="false">IF(A222="","",'Profile &amp; Targets'!$B$27)</f>
        <v/>
      </c>
      <c r="J222" s="11" t="str">
        <f aca="false">IF(A222="","",'Profile &amp; Targets'!$B$26)</f>
        <v/>
      </c>
      <c r="K222" s="11" t="str">
        <f aca="false">IF(A222="","",B222-G222)</f>
        <v/>
      </c>
      <c r="L222" s="11" t="str">
        <f aca="false">IF(A222="","",C222-H222)</f>
        <v/>
      </c>
      <c r="M222" s="11" t="str">
        <f aca="false">IF(A222="","",D222-I222)</f>
        <v/>
      </c>
      <c r="N222" s="11" t="str">
        <f aca="false">IF(A222="","",E222-J222)</f>
        <v/>
      </c>
    </row>
    <row r="223" customFormat="false" ht="15" hidden="false" customHeight="true" outlineLevel="0" collapsed="false">
      <c r="A223" s="10"/>
      <c r="B223" s="11" t="str">
        <f aca="false">IF(A223="","",SUMIFS('Food Log'!C:C,'Food Log'!A:A,A223))</f>
        <v/>
      </c>
      <c r="C223" s="11" t="str">
        <f aca="false">IF(A223="","",SUMIFS('Food Log'!D:D,'Food Log'!A:A,A223))</f>
        <v/>
      </c>
      <c r="D223" s="11" t="str">
        <f aca="false">IF(A223="","",SUMIFS('Food Log'!E:E,'Food Log'!A:A,A223))</f>
        <v/>
      </c>
      <c r="E223" s="11" t="str">
        <f aca="false">IF(A223="","",SUMIFS('Food Log'!F:F,'Food Log'!A:A,A223))</f>
        <v/>
      </c>
      <c r="F223" s="11" t="str">
        <f aca="false">IF(A223="","",SUMIFS('Food Log'!C:C,'Food Log'!A:A,A223,'Food Log'!G:G,"Yes*"))</f>
        <v/>
      </c>
      <c r="G223" s="11" t="str">
        <f aca="false">IF(A223="","",'Profile &amp; Targets'!$B$24)</f>
        <v/>
      </c>
      <c r="H223" s="11" t="str">
        <f aca="false">IF(A223="","",'Profile &amp; Targets'!$B$25)</f>
        <v/>
      </c>
      <c r="I223" s="11" t="str">
        <f aca="false">IF(A223="","",'Profile &amp; Targets'!$B$27)</f>
        <v/>
      </c>
      <c r="J223" s="11" t="str">
        <f aca="false">IF(A223="","",'Profile &amp; Targets'!$B$26)</f>
        <v/>
      </c>
      <c r="K223" s="11" t="str">
        <f aca="false">IF(A223="","",B223-G223)</f>
        <v/>
      </c>
      <c r="L223" s="11" t="str">
        <f aca="false">IF(A223="","",C223-H223)</f>
        <v/>
      </c>
      <c r="M223" s="11" t="str">
        <f aca="false">IF(A223="","",D223-I223)</f>
        <v/>
      </c>
      <c r="N223" s="11" t="str">
        <f aca="false">IF(A223="","",E223-J223)</f>
        <v/>
      </c>
    </row>
    <row r="224" customFormat="false" ht="15" hidden="false" customHeight="true" outlineLevel="0" collapsed="false">
      <c r="A224" s="10"/>
      <c r="B224" s="11" t="str">
        <f aca="false">IF(A224="","",SUMIFS('Food Log'!C:C,'Food Log'!A:A,A224))</f>
        <v/>
      </c>
      <c r="C224" s="11" t="str">
        <f aca="false">IF(A224="","",SUMIFS('Food Log'!D:D,'Food Log'!A:A,A224))</f>
        <v/>
      </c>
      <c r="D224" s="11" t="str">
        <f aca="false">IF(A224="","",SUMIFS('Food Log'!E:E,'Food Log'!A:A,A224))</f>
        <v/>
      </c>
      <c r="E224" s="11" t="str">
        <f aca="false">IF(A224="","",SUMIFS('Food Log'!F:F,'Food Log'!A:A,A224))</f>
        <v/>
      </c>
      <c r="F224" s="11" t="str">
        <f aca="false">IF(A224="","",SUMIFS('Food Log'!C:C,'Food Log'!A:A,A224,'Food Log'!G:G,"Yes*"))</f>
        <v/>
      </c>
      <c r="G224" s="11" t="str">
        <f aca="false">IF(A224="","",'Profile &amp; Targets'!$B$24)</f>
        <v/>
      </c>
      <c r="H224" s="11" t="str">
        <f aca="false">IF(A224="","",'Profile &amp; Targets'!$B$25)</f>
        <v/>
      </c>
      <c r="I224" s="11" t="str">
        <f aca="false">IF(A224="","",'Profile &amp; Targets'!$B$27)</f>
        <v/>
      </c>
      <c r="J224" s="11" t="str">
        <f aca="false">IF(A224="","",'Profile &amp; Targets'!$B$26)</f>
        <v/>
      </c>
      <c r="K224" s="11" t="str">
        <f aca="false">IF(A224="","",B224-G224)</f>
        <v/>
      </c>
      <c r="L224" s="11" t="str">
        <f aca="false">IF(A224="","",C224-H224)</f>
        <v/>
      </c>
      <c r="M224" s="11" t="str">
        <f aca="false">IF(A224="","",D224-I224)</f>
        <v/>
      </c>
      <c r="N224" s="11" t="str">
        <f aca="false">IF(A224="","",E224-J224)</f>
        <v/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10"/>
    <col collapsed="false" customWidth="true" hidden="false" outlineLevel="0" max="5" min="5" style="1" width="14"/>
    <col collapsed="false" customWidth="true" hidden="false" outlineLevel="0" max="7" min="6" style="1" width="13"/>
    <col collapsed="false" customWidth="true" hidden="false" outlineLevel="0" max="8" min="8" style="1" width="12"/>
    <col collapsed="false" customWidth="true" hidden="false" outlineLevel="0" max="10" min="9" style="1" width="10"/>
    <col collapsed="false" customWidth="true" hidden="false" outlineLevel="0" max="11" min="11" style="1" width="12"/>
    <col collapsed="false" customWidth="true" hidden="false" outlineLevel="0" max="12" min="12" style="1" width="11"/>
    <col collapsed="false" customWidth="true" hidden="false" outlineLevel="0" max="13" min="13" style="1" width="13"/>
    <col collapsed="false" customWidth="true" hidden="false" outlineLevel="0" max="14" min="14" style="1" width="12"/>
    <col collapsed="false" customWidth="true" hidden="false" outlineLevel="0" max="15" min="15" style="1" width="10"/>
    <col collapsed="false" customWidth="true" hidden="false" outlineLevel="0" max="16" min="16" style="1" width="11"/>
  </cols>
  <sheetData>
    <row r="1" customFormat="false" ht="21.75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8" t="s">
        <v>53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4" customFormat="false" ht="30" hidden="false" customHeight="true" outlineLevel="0" collapsed="false">
      <c r="A4" s="9" t="s">
        <v>54</v>
      </c>
      <c r="B4" s="9" t="s">
        <v>55</v>
      </c>
      <c r="C4" s="9" t="s">
        <v>56</v>
      </c>
      <c r="D4" s="9" t="s">
        <v>57</v>
      </c>
      <c r="E4" s="9" t="s">
        <v>58</v>
      </c>
      <c r="F4" s="9" t="s">
        <v>59</v>
      </c>
      <c r="G4" s="9" t="s">
        <v>60</v>
      </c>
      <c r="H4" s="9" t="s">
        <v>61</v>
      </c>
      <c r="I4" s="9" t="s">
        <v>62</v>
      </c>
      <c r="J4" s="9" t="s">
        <v>63</v>
      </c>
      <c r="K4" s="9" t="s">
        <v>64</v>
      </c>
      <c r="L4" s="9" t="s">
        <v>65</v>
      </c>
      <c r="M4" s="9" t="s">
        <v>66</v>
      </c>
      <c r="N4" s="9" t="s">
        <v>67</v>
      </c>
      <c r="O4" s="9" t="s">
        <v>68</v>
      </c>
      <c r="P4" s="9" t="s">
        <v>69</v>
      </c>
    </row>
    <row r="5" customFormat="false" ht="15" hidden="false" customHeight="true" outlineLevel="0" collapsed="false">
      <c r="A5" s="10"/>
      <c r="B5" s="12" t="n">
        <f aca="false">A5+6</f>
        <v>6</v>
      </c>
      <c r="C5" s="11" t="n">
        <f aca="false">SUMIFS('Daily Summary'!B:B,'Daily Summary'!A:A,"&gt;="&amp;A5,'Daily Summary'!A:A,"&lt;="&amp;B5)</f>
        <v>0</v>
      </c>
      <c r="D5" s="13" t="n">
        <f aca="false">C5/7</f>
        <v>0</v>
      </c>
      <c r="E5" s="11" t="n">
        <f aca="false">SUMIFS('Daily Summary'!C:C,'Daily Summary'!A:A,"&gt;="&amp;A5,'Daily Summary'!A:A,"&lt;="&amp;B5)</f>
        <v>0</v>
      </c>
      <c r="F5" s="13" t="n">
        <f aca="false">E5/7</f>
        <v>0</v>
      </c>
      <c r="G5" s="11" t="n">
        <f aca="false">SUMIFS('Daily Summary'!D:D,'Daily Summary'!A:A,"&gt;="&amp;A5,'Daily Summary'!A:A,"&lt;="&amp;B5)</f>
        <v>0</v>
      </c>
      <c r="H5" s="13" t="n">
        <f aca="false">G5/7</f>
        <v>0</v>
      </c>
      <c r="I5" s="11" t="n">
        <f aca="false">SUMIFS('Daily Summary'!E:E,'Daily Summary'!A:A,"&gt;="&amp;A5,'Daily Summary'!A:A,"&lt;="&amp;B5)</f>
        <v>0</v>
      </c>
      <c r="J5" s="13" t="n">
        <f aca="false">I5/7</f>
        <v>0</v>
      </c>
      <c r="K5" s="11" t="n">
        <f aca="false">SUMIFS('Daily Summary'!F:F,'Daily Summary'!A:A,"&gt;="&amp;A5,'Daily Summary'!A:A,"&lt;="&amp;B5)</f>
        <v>0</v>
      </c>
      <c r="L5" s="14" t="n">
        <f aca="false">SUMIFS('Spending Log'!D:D,'Spending Log'!A:A,"&gt;="&amp;A5,'Spending Log'!A:A,"&lt;="&amp;B5,'Spending Log'!C:C,"Groceries")</f>
        <v>0</v>
      </c>
      <c r="M5" s="14" t="n">
        <f aca="false">SUMIFS('Spending Log'!D:D,'Spending Log'!A:A,"&gt;="&amp;A5,'Spending Log'!A:A,"&lt;="&amp;B5,'Spending Log'!C:C,"Alcohol/Beer")</f>
        <v>0</v>
      </c>
      <c r="N5" s="14" t="n">
        <f aca="false">SUMIFS('Spending Log'!D:D,'Spending Log'!A:A,"&gt;="&amp;A5,'Spending Log'!A:A,"&lt;="&amp;B5,'Spending Log'!C:C,"Eating Out")</f>
        <v>0</v>
      </c>
      <c r="O5" s="14" t="n">
        <f aca="false">SUMIFS('Spending Log'!D:D,'Spending Log'!A:A,"&gt;="&amp;A5,'Spending Log'!A:A,"&lt;="&amp;B5,'Spending Log'!C:C,"Other")</f>
        <v>0</v>
      </c>
      <c r="P5" s="14" t="n">
        <f aca="false">SUM(L5:O5)</f>
        <v>0</v>
      </c>
    </row>
    <row r="6" customFormat="false" ht="15" hidden="false" customHeight="true" outlineLevel="0" collapsed="false">
      <c r="A6" s="12" t="n">
        <f aca="false">A5+7</f>
        <v>7</v>
      </c>
      <c r="B6" s="12" t="n">
        <f aca="false">A6+6</f>
        <v>13</v>
      </c>
      <c r="C6" s="11" t="n">
        <f aca="false">SUMIFS('Daily Summary'!B:B,'Daily Summary'!A:A,"&gt;="&amp;A6,'Daily Summary'!A:A,"&lt;="&amp;B6)</f>
        <v>0</v>
      </c>
      <c r="D6" s="13" t="n">
        <f aca="false">C6/7</f>
        <v>0</v>
      </c>
      <c r="E6" s="11" t="n">
        <f aca="false">SUMIFS('Daily Summary'!C:C,'Daily Summary'!A:A,"&gt;="&amp;A6,'Daily Summary'!A:A,"&lt;="&amp;B6)</f>
        <v>0</v>
      </c>
      <c r="F6" s="13" t="n">
        <f aca="false">E6/7</f>
        <v>0</v>
      </c>
      <c r="G6" s="11" t="n">
        <f aca="false">SUMIFS('Daily Summary'!D:D,'Daily Summary'!A:A,"&gt;="&amp;A6,'Daily Summary'!A:A,"&lt;="&amp;B6)</f>
        <v>0</v>
      </c>
      <c r="H6" s="13" t="n">
        <f aca="false">G6/7</f>
        <v>0</v>
      </c>
      <c r="I6" s="11" t="n">
        <f aca="false">SUMIFS('Daily Summary'!E:E,'Daily Summary'!A:A,"&gt;="&amp;A6,'Daily Summary'!A:A,"&lt;="&amp;B6)</f>
        <v>0</v>
      </c>
      <c r="J6" s="13" t="n">
        <f aca="false">I6/7</f>
        <v>0</v>
      </c>
      <c r="K6" s="11" t="n">
        <f aca="false">SUMIFS('Daily Summary'!F:F,'Daily Summary'!A:A,"&gt;="&amp;A6,'Daily Summary'!A:A,"&lt;="&amp;B6)</f>
        <v>0</v>
      </c>
      <c r="L6" s="14" t="n">
        <f aca="false">SUMIFS('Spending Log'!D:D,'Spending Log'!A:A,"&gt;="&amp;A6,'Spending Log'!A:A,"&lt;="&amp;B6,'Spending Log'!C:C,"Groceries")</f>
        <v>0</v>
      </c>
      <c r="M6" s="14" t="n">
        <f aca="false">SUMIFS('Spending Log'!D:D,'Spending Log'!A:A,"&gt;="&amp;A6,'Spending Log'!A:A,"&lt;="&amp;B6,'Spending Log'!C:C,"Alcohol/Beer")</f>
        <v>0</v>
      </c>
      <c r="N6" s="14" t="n">
        <f aca="false">SUMIFS('Spending Log'!D:D,'Spending Log'!A:A,"&gt;="&amp;A6,'Spending Log'!A:A,"&lt;="&amp;B6,'Spending Log'!C:C,"Eating Out")</f>
        <v>0</v>
      </c>
      <c r="O6" s="14" t="n">
        <f aca="false">SUMIFS('Spending Log'!D:D,'Spending Log'!A:A,"&gt;="&amp;A6,'Spending Log'!A:A,"&lt;="&amp;B6,'Spending Log'!C:C,"Other")</f>
        <v>0</v>
      </c>
      <c r="P6" s="14" t="n">
        <f aca="false">SUM(L6:O6)</f>
        <v>0</v>
      </c>
    </row>
    <row r="7" customFormat="false" ht="15" hidden="false" customHeight="true" outlineLevel="0" collapsed="false">
      <c r="A7" s="12" t="n">
        <f aca="false">A6+7</f>
        <v>14</v>
      </c>
      <c r="B7" s="12" t="n">
        <f aca="false">A7+6</f>
        <v>20</v>
      </c>
      <c r="C7" s="11" t="n">
        <f aca="false">SUMIFS('Daily Summary'!B:B,'Daily Summary'!A:A,"&gt;="&amp;A7,'Daily Summary'!A:A,"&lt;="&amp;B7)</f>
        <v>0</v>
      </c>
      <c r="D7" s="13" t="n">
        <f aca="false">C7/7</f>
        <v>0</v>
      </c>
      <c r="E7" s="11" t="n">
        <f aca="false">SUMIFS('Daily Summary'!C:C,'Daily Summary'!A:A,"&gt;="&amp;A7,'Daily Summary'!A:A,"&lt;="&amp;B7)</f>
        <v>0</v>
      </c>
      <c r="F7" s="13" t="n">
        <f aca="false">E7/7</f>
        <v>0</v>
      </c>
      <c r="G7" s="11" t="n">
        <f aca="false">SUMIFS('Daily Summary'!D:D,'Daily Summary'!A:A,"&gt;="&amp;A7,'Daily Summary'!A:A,"&lt;="&amp;B7)</f>
        <v>0</v>
      </c>
      <c r="H7" s="13" t="n">
        <f aca="false">G7/7</f>
        <v>0</v>
      </c>
      <c r="I7" s="11" t="n">
        <f aca="false">SUMIFS('Daily Summary'!E:E,'Daily Summary'!A:A,"&gt;="&amp;A7,'Daily Summary'!A:A,"&lt;="&amp;B7)</f>
        <v>0</v>
      </c>
      <c r="J7" s="13" t="n">
        <f aca="false">I7/7</f>
        <v>0</v>
      </c>
      <c r="K7" s="11" t="n">
        <f aca="false">SUMIFS('Daily Summary'!F:F,'Daily Summary'!A:A,"&gt;="&amp;A7,'Daily Summary'!A:A,"&lt;="&amp;B7)</f>
        <v>0</v>
      </c>
      <c r="L7" s="14" t="n">
        <f aca="false">SUMIFS('Spending Log'!D:D,'Spending Log'!A:A,"&gt;="&amp;A7,'Spending Log'!A:A,"&lt;="&amp;B7,'Spending Log'!C:C,"Groceries")</f>
        <v>0</v>
      </c>
      <c r="M7" s="14" t="n">
        <f aca="false">SUMIFS('Spending Log'!D:D,'Spending Log'!A:A,"&gt;="&amp;A7,'Spending Log'!A:A,"&lt;="&amp;B7,'Spending Log'!C:C,"Alcohol/Beer")</f>
        <v>0</v>
      </c>
      <c r="N7" s="14" t="n">
        <f aca="false">SUMIFS('Spending Log'!D:D,'Spending Log'!A:A,"&gt;="&amp;A7,'Spending Log'!A:A,"&lt;="&amp;B7,'Spending Log'!C:C,"Eating Out")</f>
        <v>0</v>
      </c>
      <c r="O7" s="14" t="n">
        <f aca="false">SUMIFS('Spending Log'!D:D,'Spending Log'!A:A,"&gt;="&amp;A7,'Spending Log'!A:A,"&lt;="&amp;B7,'Spending Log'!C:C,"Other")</f>
        <v>0</v>
      </c>
      <c r="P7" s="14" t="n">
        <f aca="false">SUM(L7:O7)</f>
        <v>0</v>
      </c>
    </row>
    <row r="8" customFormat="false" ht="15" hidden="false" customHeight="true" outlineLevel="0" collapsed="false">
      <c r="A8" s="12" t="n">
        <f aca="false">A7+7</f>
        <v>21</v>
      </c>
      <c r="B8" s="12" t="n">
        <f aca="false">A8+6</f>
        <v>27</v>
      </c>
      <c r="C8" s="11" t="n">
        <f aca="false">SUMIFS('Daily Summary'!B:B,'Daily Summary'!A:A,"&gt;="&amp;A8,'Daily Summary'!A:A,"&lt;="&amp;B8)</f>
        <v>0</v>
      </c>
      <c r="D8" s="13" t="n">
        <f aca="false">C8/7</f>
        <v>0</v>
      </c>
      <c r="E8" s="11" t="n">
        <f aca="false">SUMIFS('Daily Summary'!C:C,'Daily Summary'!A:A,"&gt;="&amp;A8,'Daily Summary'!A:A,"&lt;="&amp;B8)</f>
        <v>0</v>
      </c>
      <c r="F8" s="13" t="n">
        <f aca="false">E8/7</f>
        <v>0</v>
      </c>
      <c r="G8" s="11" t="n">
        <f aca="false">SUMIFS('Daily Summary'!D:D,'Daily Summary'!A:A,"&gt;="&amp;A8,'Daily Summary'!A:A,"&lt;="&amp;B8)</f>
        <v>0</v>
      </c>
      <c r="H8" s="13" t="n">
        <f aca="false">G8/7</f>
        <v>0</v>
      </c>
      <c r="I8" s="11" t="n">
        <f aca="false">SUMIFS('Daily Summary'!E:E,'Daily Summary'!A:A,"&gt;="&amp;A8,'Daily Summary'!A:A,"&lt;="&amp;B8)</f>
        <v>0</v>
      </c>
      <c r="J8" s="13" t="n">
        <f aca="false">I8/7</f>
        <v>0</v>
      </c>
      <c r="K8" s="11" t="n">
        <f aca="false">SUMIFS('Daily Summary'!F:F,'Daily Summary'!A:A,"&gt;="&amp;A8,'Daily Summary'!A:A,"&lt;="&amp;B8)</f>
        <v>0</v>
      </c>
      <c r="L8" s="14" t="n">
        <f aca="false">SUMIFS('Spending Log'!D:D,'Spending Log'!A:A,"&gt;="&amp;A8,'Spending Log'!A:A,"&lt;="&amp;B8,'Spending Log'!C:C,"Groceries")</f>
        <v>0</v>
      </c>
      <c r="M8" s="14" t="n">
        <f aca="false">SUMIFS('Spending Log'!D:D,'Spending Log'!A:A,"&gt;="&amp;A8,'Spending Log'!A:A,"&lt;="&amp;B8,'Spending Log'!C:C,"Alcohol/Beer")</f>
        <v>0</v>
      </c>
      <c r="N8" s="14" t="n">
        <f aca="false">SUMIFS('Spending Log'!D:D,'Spending Log'!A:A,"&gt;="&amp;A8,'Spending Log'!A:A,"&lt;="&amp;B8,'Spending Log'!C:C,"Eating Out")</f>
        <v>0</v>
      </c>
      <c r="O8" s="14" t="n">
        <f aca="false">SUMIFS('Spending Log'!D:D,'Spending Log'!A:A,"&gt;="&amp;A8,'Spending Log'!A:A,"&lt;="&amp;B8,'Spending Log'!C:C,"Other")</f>
        <v>0</v>
      </c>
      <c r="P8" s="14" t="n">
        <f aca="false">SUM(L8:O8)</f>
        <v>0</v>
      </c>
    </row>
    <row r="9" customFormat="false" ht="15" hidden="false" customHeight="true" outlineLevel="0" collapsed="false">
      <c r="A9" s="12" t="n">
        <f aca="false">A8+7</f>
        <v>28</v>
      </c>
      <c r="B9" s="12" t="n">
        <f aca="false">A9+6</f>
        <v>34</v>
      </c>
      <c r="C9" s="11" t="n">
        <f aca="false">SUMIFS('Daily Summary'!B:B,'Daily Summary'!A:A,"&gt;="&amp;A9,'Daily Summary'!A:A,"&lt;="&amp;B9)</f>
        <v>0</v>
      </c>
      <c r="D9" s="13" t="n">
        <f aca="false">C9/7</f>
        <v>0</v>
      </c>
      <c r="E9" s="11" t="n">
        <f aca="false">SUMIFS('Daily Summary'!C:C,'Daily Summary'!A:A,"&gt;="&amp;A9,'Daily Summary'!A:A,"&lt;="&amp;B9)</f>
        <v>0</v>
      </c>
      <c r="F9" s="13" t="n">
        <f aca="false">E9/7</f>
        <v>0</v>
      </c>
      <c r="G9" s="11" t="n">
        <f aca="false">SUMIFS('Daily Summary'!D:D,'Daily Summary'!A:A,"&gt;="&amp;A9,'Daily Summary'!A:A,"&lt;="&amp;B9)</f>
        <v>0</v>
      </c>
      <c r="H9" s="13" t="n">
        <f aca="false">G9/7</f>
        <v>0</v>
      </c>
      <c r="I9" s="11" t="n">
        <f aca="false">SUMIFS('Daily Summary'!E:E,'Daily Summary'!A:A,"&gt;="&amp;A9,'Daily Summary'!A:A,"&lt;="&amp;B9)</f>
        <v>0</v>
      </c>
      <c r="J9" s="13" t="n">
        <f aca="false">I9/7</f>
        <v>0</v>
      </c>
      <c r="K9" s="11" t="n">
        <f aca="false">SUMIFS('Daily Summary'!F:F,'Daily Summary'!A:A,"&gt;="&amp;A9,'Daily Summary'!A:A,"&lt;="&amp;B9)</f>
        <v>0</v>
      </c>
      <c r="L9" s="14" t="n">
        <f aca="false">SUMIFS('Spending Log'!D:D,'Spending Log'!A:A,"&gt;="&amp;A9,'Spending Log'!A:A,"&lt;="&amp;B9,'Spending Log'!C:C,"Groceries")</f>
        <v>0</v>
      </c>
      <c r="M9" s="14" t="n">
        <f aca="false">SUMIFS('Spending Log'!D:D,'Spending Log'!A:A,"&gt;="&amp;A9,'Spending Log'!A:A,"&lt;="&amp;B9,'Spending Log'!C:C,"Alcohol/Beer")</f>
        <v>0</v>
      </c>
      <c r="N9" s="14" t="n">
        <f aca="false">SUMIFS('Spending Log'!D:D,'Spending Log'!A:A,"&gt;="&amp;A9,'Spending Log'!A:A,"&lt;="&amp;B9,'Spending Log'!C:C,"Eating Out")</f>
        <v>0</v>
      </c>
      <c r="O9" s="14" t="n">
        <f aca="false">SUMIFS('Spending Log'!D:D,'Spending Log'!A:A,"&gt;="&amp;A9,'Spending Log'!A:A,"&lt;="&amp;B9,'Spending Log'!C:C,"Other")</f>
        <v>0</v>
      </c>
      <c r="P9" s="14" t="n">
        <f aca="false">SUM(L9:O9)</f>
        <v>0</v>
      </c>
    </row>
    <row r="10" customFormat="false" ht="15" hidden="false" customHeight="true" outlineLevel="0" collapsed="false">
      <c r="A10" s="12" t="n">
        <f aca="false">A9+7</f>
        <v>35</v>
      </c>
      <c r="B10" s="12" t="n">
        <f aca="false">A10+6</f>
        <v>41</v>
      </c>
      <c r="C10" s="11" t="n">
        <f aca="false">SUMIFS('Daily Summary'!B:B,'Daily Summary'!A:A,"&gt;="&amp;A10,'Daily Summary'!A:A,"&lt;="&amp;B10)</f>
        <v>0</v>
      </c>
      <c r="D10" s="13" t="n">
        <f aca="false">C10/7</f>
        <v>0</v>
      </c>
      <c r="E10" s="11" t="n">
        <f aca="false">SUMIFS('Daily Summary'!C:C,'Daily Summary'!A:A,"&gt;="&amp;A10,'Daily Summary'!A:A,"&lt;="&amp;B10)</f>
        <v>0</v>
      </c>
      <c r="F10" s="13" t="n">
        <f aca="false">E10/7</f>
        <v>0</v>
      </c>
      <c r="G10" s="11" t="n">
        <f aca="false">SUMIFS('Daily Summary'!D:D,'Daily Summary'!A:A,"&gt;="&amp;A10,'Daily Summary'!A:A,"&lt;="&amp;B10)</f>
        <v>0</v>
      </c>
      <c r="H10" s="13" t="n">
        <f aca="false">G10/7</f>
        <v>0</v>
      </c>
      <c r="I10" s="11" t="n">
        <f aca="false">SUMIFS('Daily Summary'!E:E,'Daily Summary'!A:A,"&gt;="&amp;A10,'Daily Summary'!A:A,"&lt;="&amp;B10)</f>
        <v>0</v>
      </c>
      <c r="J10" s="13" t="n">
        <f aca="false">I10/7</f>
        <v>0</v>
      </c>
      <c r="K10" s="11" t="n">
        <f aca="false">SUMIFS('Daily Summary'!F:F,'Daily Summary'!A:A,"&gt;="&amp;A10,'Daily Summary'!A:A,"&lt;="&amp;B10)</f>
        <v>0</v>
      </c>
      <c r="L10" s="14" t="n">
        <f aca="false">SUMIFS('Spending Log'!D:D,'Spending Log'!A:A,"&gt;="&amp;A10,'Spending Log'!A:A,"&lt;="&amp;B10,'Spending Log'!C:C,"Groceries")</f>
        <v>0</v>
      </c>
      <c r="M10" s="14" t="n">
        <f aca="false">SUMIFS('Spending Log'!D:D,'Spending Log'!A:A,"&gt;="&amp;A10,'Spending Log'!A:A,"&lt;="&amp;B10,'Spending Log'!C:C,"Alcohol/Beer")</f>
        <v>0</v>
      </c>
      <c r="N10" s="14" t="n">
        <f aca="false">SUMIFS('Spending Log'!D:D,'Spending Log'!A:A,"&gt;="&amp;A10,'Spending Log'!A:A,"&lt;="&amp;B10,'Spending Log'!C:C,"Eating Out")</f>
        <v>0</v>
      </c>
      <c r="O10" s="14" t="n">
        <f aca="false">SUMIFS('Spending Log'!D:D,'Spending Log'!A:A,"&gt;="&amp;A10,'Spending Log'!A:A,"&lt;="&amp;B10,'Spending Log'!C:C,"Other")</f>
        <v>0</v>
      </c>
      <c r="P10" s="14" t="n">
        <f aca="false">SUM(L10:O10)</f>
        <v>0</v>
      </c>
    </row>
    <row r="11" customFormat="false" ht="15" hidden="false" customHeight="true" outlineLevel="0" collapsed="false">
      <c r="A11" s="12" t="n">
        <f aca="false">A10+7</f>
        <v>42</v>
      </c>
      <c r="B11" s="12" t="n">
        <f aca="false">A11+6</f>
        <v>48</v>
      </c>
      <c r="C11" s="11" t="n">
        <f aca="false">SUMIFS('Daily Summary'!B:B,'Daily Summary'!A:A,"&gt;="&amp;A11,'Daily Summary'!A:A,"&lt;="&amp;B11)</f>
        <v>0</v>
      </c>
      <c r="D11" s="13" t="n">
        <f aca="false">C11/7</f>
        <v>0</v>
      </c>
      <c r="E11" s="11" t="n">
        <f aca="false">SUMIFS('Daily Summary'!C:C,'Daily Summary'!A:A,"&gt;="&amp;A11,'Daily Summary'!A:A,"&lt;="&amp;B11)</f>
        <v>0</v>
      </c>
      <c r="F11" s="13" t="n">
        <f aca="false">E11/7</f>
        <v>0</v>
      </c>
      <c r="G11" s="11" t="n">
        <f aca="false">SUMIFS('Daily Summary'!D:D,'Daily Summary'!A:A,"&gt;="&amp;A11,'Daily Summary'!A:A,"&lt;="&amp;B11)</f>
        <v>0</v>
      </c>
      <c r="H11" s="13" t="n">
        <f aca="false">G11/7</f>
        <v>0</v>
      </c>
      <c r="I11" s="11" t="n">
        <f aca="false">SUMIFS('Daily Summary'!E:E,'Daily Summary'!A:A,"&gt;="&amp;A11,'Daily Summary'!A:A,"&lt;="&amp;B11)</f>
        <v>0</v>
      </c>
      <c r="J11" s="13" t="n">
        <f aca="false">I11/7</f>
        <v>0</v>
      </c>
      <c r="K11" s="11" t="n">
        <f aca="false">SUMIFS('Daily Summary'!F:F,'Daily Summary'!A:A,"&gt;="&amp;A11,'Daily Summary'!A:A,"&lt;="&amp;B11)</f>
        <v>0</v>
      </c>
      <c r="L11" s="14" t="n">
        <f aca="false">SUMIFS('Spending Log'!D:D,'Spending Log'!A:A,"&gt;="&amp;A11,'Spending Log'!A:A,"&lt;="&amp;B11,'Spending Log'!C:C,"Groceries")</f>
        <v>0</v>
      </c>
      <c r="M11" s="14" t="n">
        <f aca="false">SUMIFS('Spending Log'!D:D,'Spending Log'!A:A,"&gt;="&amp;A11,'Spending Log'!A:A,"&lt;="&amp;B11,'Spending Log'!C:C,"Alcohol/Beer")</f>
        <v>0</v>
      </c>
      <c r="N11" s="14" t="n">
        <f aca="false">SUMIFS('Spending Log'!D:D,'Spending Log'!A:A,"&gt;="&amp;A11,'Spending Log'!A:A,"&lt;="&amp;B11,'Spending Log'!C:C,"Eating Out")</f>
        <v>0</v>
      </c>
      <c r="O11" s="14" t="n">
        <f aca="false">SUMIFS('Spending Log'!D:D,'Spending Log'!A:A,"&gt;="&amp;A11,'Spending Log'!A:A,"&lt;="&amp;B11,'Spending Log'!C:C,"Other")</f>
        <v>0</v>
      </c>
      <c r="P11" s="14" t="n">
        <f aca="false">SUM(L11:O11)</f>
        <v>0</v>
      </c>
    </row>
    <row r="12" customFormat="false" ht="15" hidden="false" customHeight="true" outlineLevel="0" collapsed="false">
      <c r="A12" s="12" t="n">
        <f aca="false">A11+7</f>
        <v>49</v>
      </c>
      <c r="B12" s="12" t="n">
        <f aca="false">A12+6</f>
        <v>55</v>
      </c>
      <c r="C12" s="11" t="n">
        <f aca="false">SUMIFS('Daily Summary'!B:B,'Daily Summary'!A:A,"&gt;="&amp;A12,'Daily Summary'!A:A,"&lt;="&amp;B12)</f>
        <v>0</v>
      </c>
      <c r="D12" s="13" t="n">
        <f aca="false">C12/7</f>
        <v>0</v>
      </c>
      <c r="E12" s="11" t="n">
        <f aca="false">SUMIFS('Daily Summary'!C:C,'Daily Summary'!A:A,"&gt;="&amp;A12,'Daily Summary'!A:A,"&lt;="&amp;B12)</f>
        <v>0</v>
      </c>
      <c r="F12" s="13" t="n">
        <f aca="false">E12/7</f>
        <v>0</v>
      </c>
      <c r="G12" s="11" t="n">
        <f aca="false">SUMIFS('Daily Summary'!D:D,'Daily Summary'!A:A,"&gt;="&amp;A12,'Daily Summary'!A:A,"&lt;="&amp;B12)</f>
        <v>0</v>
      </c>
      <c r="H12" s="13" t="n">
        <f aca="false">G12/7</f>
        <v>0</v>
      </c>
      <c r="I12" s="11" t="n">
        <f aca="false">SUMIFS('Daily Summary'!E:E,'Daily Summary'!A:A,"&gt;="&amp;A12,'Daily Summary'!A:A,"&lt;="&amp;B12)</f>
        <v>0</v>
      </c>
      <c r="J12" s="13" t="n">
        <f aca="false">I12/7</f>
        <v>0</v>
      </c>
      <c r="K12" s="11" t="n">
        <f aca="false">SUMIFS('Daily Summary'!F:F,'Daily Summary'!A:A,"&gt;="&amp;A12,'Daily Summary'!A:A,"&lt;="&amp;B12)</f>
        <v>0</v>
      </c>
      <c r="L12" s="14" t="n">
        <f aca="false">SUMIFS('Spending Log'!D:D,'Spending Log'!A:A,"&gt;="&amp;A12,'Spending Log'!A:A,"&lt;="&amp;B12,'Spending Log'!C:C,"Groceries")</f>
        <v>0</v>
      </c>
      <c r="M12" s="14" t="n">
        <f aca="false">SUMIFS('Spending Log'!D:D,'Spending Log'!A:A,"&gt;="&amp;A12,'Spending Log'!A:A,"&lt;="&amp;B12,'Spending Log'!C:C,"Alcohol/Beer")</f>
        <v>0</v>
      </c>
      <c r="N12" s="14" t="n">
        <f aca="false">SUMIFS('Spending Log'!D:D,'Spending Log'!A:A,"&gt;="&amp;A12,'Spending Log'!A:A,"&lt;="&amp;B12,'Spending Log'!C:C,"Eating Out")</f>
        <v>0</v>
      </c>
      <c r="O12" s="14" t="n">
        <f aca="false">SUMIFS('Spending Log'!D:D,'Spending Log'!A:A,"&gt;="&amp;A12,'Spending Log'!A:A,"&lt;="&amp;B12,'Spending Log'!C:C,"Other")</f>
        <v>0</v>
      </c>
      <c r="P12" s="14" t="n">
        <f aca="false">SUM(L12:O12)</f>
        <v>0</v>
      </c>
    </row>
    <row r="13" customFormat="false" ht="15" hidden="false" customHeight="true" outlineLevel="0" collapsed="false">
      <c r="A13" s="12" t="n">
        <f aca="false">A12+7</f>
        <v>56</v>
      </c>
      <c r="B13" s="12" t="n">
        <f aca="false">A13+6</f>
        <v>62</v>
      </c>
      <c r="C13" s="11" t="n">
        <f aca="false">SUMIFS('Daily Summary'!B:B,'Daily Summary'!A:A,"&gt;="&amp;A13,'Daily Summary'!A:A,"&lt;="&amp;B13)</f>
        <v>0</v>
      </c>
      <c r="D13" s="13" t="n">
        <f aca="false">C13/7</f>
        <v>0</v>
      </c>
      <c r="E13" s="11" t="n">
        <f aca="false">SUMIFS('Daily Summary'!C:C,'Daily Summary'!A:A,"&gt;="&amp;A13,'Daily Summary'!A:A,"&lt;="&amp;B13)</f>
        <v>0</v>
      </c>
      <c r="F13" s="13" t="n">
        <f aca="false">E13/7</f>
        <v>0</v>
      </c>
      <c r="G13" s="11" t="n">
        <f aca="false">SUMIFS('Daily Summary'!D:D,'Daily Summary'!A:A,"&gt;="&amp;A13,'Daily Summary'!A:A,"&lt;="&amp;B13)</f>
        <v>0</v>
      </c>
      <c r="H13" s="13" t="n">
        <f aca="false">G13/7</f>
        <v>0</v>
      </c>
      <c r="I13" s="11" t="n">
        <f aca="false">SUMIFS('Daily Summary'!E:E,'Daily Summary'!A:A,"&gt;="&amp;A13,'Daily Summary'!A:A,"&lt;="&amp;B13)</f>
        <v>0</v>
      </c>
      <c r="J13" s="13" t="n">
        <f aca="false">I13/7</f>
        <v>0</v>
      </c>
      <c r="K13" s="11" t="n">
        <f aca="false">SUMIFS('Daily Summary'!F:F,'Daily Summary'!A:A,"&gt;="&amp;A13,'Daily Summary'!A:A,"&lt;="&amp;B13)</f>
        <v>0</v>
      </c>
      <c r="L13" s="14" t="n">
        <f aca="false">SUMIFS('Spending Log'!D:D,'Spending Log'!A:A,"&gt;="&amp;A13,'Spending Log'!A:A,"&lt;="&amp;B13,'Spending Log'!C:C,"Groceries")</f>
        <v>0</v>
      </c>
      <c r="M13" s="14" t="n">
        <f aca="false">SUMIFS('Spending Log'!D:D,'Spending Log'!A:A,"&gt;="&amp;A13,'Spending Log'!A:A,"&lt;="&amp;B13,'Spending Log'!C:C,"Alcohol/Beer")</f>
        <v>0</v>
      </c>
      <c r="N13" s="14" t="n">
        <f aca="false">SUMIFS('Spending Log'!D:D,'Spending Log'!A:A,"&gt;="&amp;A13,'Spending Log'!A:A,"&lt;="&amp;B13,'Spending Log'!C:C,"Eating Out")</f>
        <v>0</v>
      </c>
      <c r="O13" s="14" t="n">
        <f aca="false">SUMIFS('Spending Log'!D:D,'Spending Log'!A:A,"&gt;="&amp;A13,'Spending Log'!A:A,"&lt;="&amp;B13,'Spending Log'!C:C,"Other")</f>
        <v>0</v>
      </c>
      <c r="P13" s="14" t="n">
        <f aca="false">SUM(L13:O13)</f>
        <v>0</v>
      </c>
    </row>
    <row r="14" customFormat="false" ht="15" hidden="false" customHeight="true" outlineLevel="0" collapsed="false">
      <c r="A14" s="12" t="n">
        <f aca="false">A13+7</f>
        <v>63</v>
      </c>
      <c r="B14" s="12" t="n">
        <f aca="false">A14+6</f>
        <v>69</v>
      </c>
      <c r="C14" s="11" t="n">
        <f aca="false">SUMIFS('Daily Summary'!B:B,'Daily Summary'!A:A,"&gt;="&amp;A14,'Daily Summary'!A:A,"&lt;="&amp;B14)</f>
        <v>0</v>
      </c>
      <c r="D14" s="13" t="n">
        <f aca="false">C14/7</f>
        <v>0</v>
      </c>
      <c r="E14" s="11" t="n">
        <f aca="false">SUMIFS('Daily Summary'!C:C,'Daily Summary'!A:A,"&gt;="&amp;A14,'Daily Summary'!A:A,"&lt;="&amp;B14)</f>
        <v>0</v>
      </c>
      <c r="F14" s="13" t="n">
        <f aca="false">E14/7</f>
        <v>0</v>
      </c>
      <c r="G14" s="11" t="n">
        <f aca="false">SUMIFS('Daily Summary'!D:D,'Daily Summary'!A:A,"&gt;="&amp;A14,'Daily Summary'!A:A,"&lt;="&amp;B14)</f>
        <v>0</v>
      </c>
      <c r="H14" s="13" t="n">
        <f aca="false">G14/7</f>
        <v>0</v>
      </c>
      <c r="I14" s="11" t="n">
        <f aca="false">SUMIFS('Daily Summary'!E:E,'Daily Summary'!A:A,"&gt;="&amp;A14,'Daily Summary'!A:A,"&lt;="&amp;B14)</f>
        <v>0</v>
      </c>
      <c r="J14" s="13" t="n">
        <f aca="false">I14/7</f>
        <v>0</v>
      </c>
      <c r="K14" s="11" t="n">
        <f aca="false">SUMIFS('Daily Summary'!F:F,'Daily Summary'!A:A,"&gt;="&amp;A14,'Daily Summary'!A:A,"&lt;="&amp;B14)</f>
        <v>0</v>
      </c>
      <c r="L14" s="14" t="n">
        <f aca="false">SUMIFS('Spending Log'!D:D,'Spending Log'!A:A,"&gt;="&amp;A14,'Spending Log'!A:A,"&lt;="&amp;B14,'Spending Log'!C:C,"Groceries")</f>
        <v>0</v>
      </c>
      <c r="M14" s="14" t="n">
        <f aca="false">SUMIFS('Spending Log'!D:D,'Spending Log'!A:A,"&gt;="&amp;A14,'Spending Log'!A:A,"&lt;="&amp;B14,'Spending Log'!C:C,"Alcohol/Beer")</f>
        <v>0</v>
      </c>
      <c r="N14" s="14" t="n">
        <f aca="false">SUMIFS('Spending Log'!D:D,'Spending Log'!A:A,"&gt;="&amp;A14,'Spending Log'!A:A,"&lt;="&amp;B14,'Spending Log'!C:C,"Eating Out")</f>
        <v>0</v>
      </c>
      <c r="O14" s="14" t="n">
        <f aca="false">SUMIFS('Spending Log'!D:D,'Spending Log'!A:A,"&gt;="&amp;A14,'Spending Log'!A:A,"&lt;="&amp;B14,'Spending Log'!C:C,"Other")</f>
        <v>0</v>
      </c>
      <c r="P14" s="14" t="n">
        <f aca="false">SUM(L14:O14)</f>
        <v>0</v>
      </c>
    </row>
    <row r="15" customFormat="false" ht="15" hidden="false" customHeight="true" outlineLevel="0" collapsed="false">
      <c r="A15" s="12" t="n">
        <f aca="false">A14+7</f>
        <v>70</v>
      </c>
      <c r="B15" s="12" t="n">
        <f aca="false">A15+6</f>
        <v>76</v>
      </c>
      <c r="C15" s="11" t="n">
        <f aca="false">SUMIFS('Daily Summary'!B:B,'Daily Summary'!A:A,"&gt;="&amp;A15,'Daily Summary'!A:A,"&lt;="&amp;B15)</f>
        <v>0</v>
      </c>
      <c r="D15" s="13" t="n">
        <f aca="false">C15/7</f>
        <v>0</v>
      </c>
      <c r="E15" s="11" t="n">
        <f aca="false">SUMIFS('Daily Summary'!C:C,'Daily Summary'!A:A,"&gt;="&amp;A15,'Daily Summary'!A:A,"&lt;="&amp;B15)</f>
        <v>0</v>
      </c>
      <c r="F15" s="13" t="n">
        <f aca="false">E15/7</f>
        <v>0</v>
      </c>
      <c r="G15" s="11" t="n">
        <f aca="false">SUMIFS('Daily Summary'!D:D,'Daily Summary'!A:A,"&gt;="&amp;A15,'Daily Summary'!A:A,"&lt;="&amp;B15)</f>
        <v>0</v>
      </c>
      <c r="H15" s="13" t="n">
        <f aca="false">G15/7</f>
        <v>0</v>
      </c>
      <c r="I15" s="11" t="n">
        <f aca="false">SUMIFS('Daily Summary'!E:E,'Daily Summary'!A:A,"&gt;="&amp;A15,'Daily Summary'!A:A,"&lt;="&amp;B15)</f>
        <v>0</v>
      </c>
      <c r="J15" s="13" t="n">
        <f aca="false">I15/7</f>
        <v>0</v>
      </c>
      <c r="K15" s="11" t="n">
        <f aca="false">SUMIFS('Daily Summary'!F:F,'Daily Summary'!A:A,"&gt;="&amp;A15,'Daily Summary'!A:A,"&lt;="&amp;B15)</f>
        <v>0</v>
      </c>
      <c r="L15" s="14" t="n">
        <f aca="false">SUMIFS('Spending Log'!D:D,'Spending Log'!A:A,"&gt;="&amp;A15,'Spending Log'!A:A,"&lt;="&amp;B15,'Spending Log'!C:C,"Groceries")</f>
        <v>0</v>
      </c>
      <c r="M15" s="14" t="n">
        <f aca="false">SUMIFS('Spending Log'!D:D,'Spending Log'!A:A,"&gt;="&amp;A15,'Spending Log'!A:A,"&lt;="&amp;B15,'Spending Log'!C:C,"Alcohol/Beer")</f>
        <v>0</v>
      </c>
      <c r="N15" s="14" t="n">
        <f aca="false">SUMIFS('Spending Log'!D:D,'Spending Log'!A:A,"&gt;="&amp;A15,'Spending Log'!A:A,"&lt;="&amp;B15,'Spending Log'!C:C,"Eating Out")</f>
        <v>0</v>
      </c>
      <c r="O15" s="14" t="n">
        <f aca="false">SUMIFS('Spending Log'!D:D,'Spending Log'!A:A,"&gt;="&amp;A15,'Spending Log'!A:A,"&lt;="&amp;B15,'Spending Log'!C:C,"Other")</f>
        <v>0</v>
      </c>
      <c r="P15" s="14" t="n">
        <f aca="false">SUM(L15:O15)</f>
        <v>0</v>
      </c>
    </row>
    <row r="16" customFormat="false" ht="15" hidden="false" customHeight="true" outlineLevel="0" collapsed="false">
      <c r="A16" s="12" t="n">
        <f aca="false">A15+7</f>
        <v>77</v>
      </c>
      <c r="B16" s="12" t="n">
        <f aca="false">A16+6</f>
        <v>83</v>
      </c>
      <c r="C16" s="11" t="n">
        <f aca="false">SUMIFS('Daily Summary'!B:B,'Daily Summary'!A:A,"&gt;="&amp;A16,'Daily Summary'!A:A,"&lt;="&amp;B16)</f>
        <v>0</v>
      </c>
      <c r="D16" s="13" t="n">
        <f aca="false">C16/7</f>
        <v>0</v>
      </c>
      <c r="E16" s="11" t="n">
        <f aca="false">SUMIFS('Daily Summary'!C:C,'Daily Summary'!A:A,"&gt;="&amp;A16,'Daily Summary'!A:A,"&lt;="&amp;B16)</f>
        <v>0</v>
      </c>
      <c r="F16" s="13" t="n">
        <f aca="false">E16/7</f>
        <v>0</v>
      </c>
      <c r="G16" s="11" t="n">
        <f aca="false">SUMIFS('Daily Summary'!D:D,'Daily Summary'!A:A,"&gt;="&amp;A16,'Daily Summary'!A:A,"&lt;="&amp;B16)</f>
        <v>0</v>
      </c>
      <c r="H16" s="13" t="n">
        <f aca="false">G16/7</f>
        <v>0</v>
      </c>
      <c r="I16" s="11" t="n">
        <f aca="false">SUMIFS('Daily Summary'!E:E,'Daily Summary'!A:A,"&gt;="&amp;A16,'Daily Summary'!A:A,"&lt;="&amp;B16)</f>
        <v>0</v>
      </c>
      <c r="J16" s="13" t="n">
        <f aca="false">I16/7</f>
        <v>0</v>
      </c>
      <c r="K16" s="11" t="n">
        <f aca="false">SUMIFS('Daily Summary'!F:F,'Daily Summary'!A:A,"&gt;="&amp;A16,'Daily Summary'!A:A,"&lt;="&amp;B16)</f>
        <v>0</v>
      </c>
      <c r="L16" s="14" t="n">
        <f aca="false">SUMIFS('Spending Log'!D:D,'Spending Log'!A:A,"&gt;="&amp;A16,'Spending Log'!A:A,"&lt;="&amp;B16,'Spending Log'!C:C,"Groceries")</f>
        <v>0</v>
      </c>
      <c r="M16" s="14" t="n">
        <f aca="false">SUMIFS('Spending Log'!D:D,'Spending Log'!A:A,"&gt;="&amp;A16,'Spending Log'!A:A,"&lt;="&amp;B16,'Spending Log'!C:C,"Alcohol/Beer")</f>
        <v>0</v>
      </c>
      <c r="N16" s="14" t="n">
        <f aca="false">SUMIFS('Spending Log'!D:D,'Spending Log'!A:A,"&gt;="&amp;A16,'Spending Log'!A:A,"&lt;="&amp;B16,'Spending Log'!C:C,"Eating Out")</f>
        <v>0</v>
      </c>
      <c r="O16" s="14" t="n">
        <f aca="false">SUMIFS('Spending Log'!D:D,'Spending Log'!A:A,"&gt;="&amp;A16,'Spending Log'!A:A,"&lt;="&amp;B16,'Spending Log'!C:C,"Other")</f>
        <v>0</v>
      </c>
      <c r="P16" s="14" t="n">
        <f aca="false">SUM(L16:O16)</f>
        <v>0</v>
      </c>
    </row>
    <row r="17" customFormat="false" ht="15" hidden="false" customHeight="true" outlineLevel="0" collapsed="false">
      <c r="A17" s="12" t="n">
        <f aca="false">A16+7</f>
        <v>84</v>
      </c>
      <c r="B17" s="12" t="n">
        <f aca="false">A17+6</f>
        <v>90</v>
      </c>
      <c r="C17" s="11" t="n">
        <f aca="false">SUMIFS('Daily Summary'!B:B,'Daily Summary'!A:A,"&gt;="&amp;A17,'Daily Summary'!A:A,"&lt;="&amp;B17)</f>
        <v>0</v>
      </c>
      <c r="D17" s="13" t="n">
        <f aca="false">C17/7</f>
        <v>0</v>
      </c>
      <c r="E17" s="11" t="n">
        <f aca="false">SUMIFS('Daily Summary'!C:C,'Daily Summary'!A:A,"&gt;="&amp;A17,'Daily Summary'!A:A,"&lt;="&amp;B17)</f>
        <v>0</v>
      </c>
      <c r="F17" s="13" t="n">
        <f aca="false">E17/7</f>
        <v>0</v>
      </c>
      <c r="G17" s="11" t="n">
        <f aca="false">SUMIFS('Daily Summary'!D:D,'Daily Summary'!A:A,"&gt;="&amp;A17,'Daily Summary'!A:A,"&lt;="&amp;B17)</f>
        <v>0</v>
      </c>
      <c r="H17" s="13" t="n">
        <f aca="false">G17/7</f>
        <v>0</v>
      </c>
      <c r="I17" s="11" t="n">
        <f aca="false">SUMIFS('Daily Summary'!E:E,'Daily Summary'!A:A,"&gt;="&amp;A17,'Daily Summary'!A:A,"&lt;="&amp;B17)</f>
        <v>0</v>
      </c>
      <c r="J17" s="13" t="n">
        <f aca="false">I17/7</f>
        <v>0</v>
      </c>
      <c r="K17" s="11" t="n">
        <f aca="false">SUMIFS('Daily Summary'!F:F,'Daily Summary'!A:A,"&gt;="&amp;A17,'Daily Summary'!A:A,"&lt;="&amp;B17)</f>
        <v>0</v>
      </c>
      <c r="L17" s="14" t="n">
        <f aca="false">SUMIFS('Spending Log'!D:D,'Spending Log'!A:A,"&gt;="&amp;A17,'Spending Log'!A:A,"&lt;="&amp;B17,'Spending Log'!C:C,"Groceries")</f>
        <v>0</v>
      </c>
      <c r="M17" s="14" t="n">
        <f aca="false">SUMIFS('Spending Log'!D:D,'Spending Log'!A:A,"&gt;="&amp;A17,'Spending Log'!A:A,"&lt;="&amp;B17,'Spending Log'!C:C,"Alcohol/Beer")</f>
        <v>0</v>
      </c>
      <c r="N17" s="14" t="n">
        <f aca="false">SUMIFS('Spending Log'!D:D,'Spending Log'!A:A,"&gt;="&amp;A17,'Spending Log'!A:A,"&lt;="&amp;B17,'Spending Log'!C:C,"Eating Out")</f>
        <v>0</v>
      </c>
      <c r="O17" s="14" t="n">
        <f aca="false">SUMIFS('Spending Log'!D:D,'Spending Log'!A:A,"&gt;="&amp;A17,'Spending Log'!A:A,"&lt;="&amp;B17,'Spending Log'!C:C,"Other")</f>
        <v>0</v>
      </c>
      <c r="P17" s="14" t="n">
        <f aca="false">SUM(L17:O17)</f>
        <v>0</v>
      </c>
    </row>
    <row r="18" customFormat="false" ht="15" hidden="false" customHeight="true" outlineLevel="0" collapsed="false">
      <c r="A18" s="12" t="n">
        <f aca="false">A17+7</f>
        <v>91</v>
      </c>
      <c r="B18" s="12" t="n">
        <f aca="false">A18+6</f>
        <v>97</v>
      </c>
      <c r="C18" s="11" t="n">
        <f aca="false">SUMIFS('Daily Summary'!B:B,'Daily Summary'!A:A,"&gt;="&amp;A18,'Daily Summary'!A:A,"&lt;="&amp;B18)</f>
        <v>0</v>
      </c>
      <c r="D18" s="13" t="n">
        <f aca="false">C18/7</f>
        <v>0</v>
      </c>
      <c r="E18" s="11" t="n">
        <f aca="false">SUMIFS('Daily Summary'!C:C,'Daily Summary'!A:A,"&gt;="&amp;A18,'Daily Summary'!A:A,"&lt;="&amp;B18)</f>
        <v>0</v>
      </c>
      <c r="F18" s="13" t="n">
        <f aca="false">E18/7</f>
        <v>0</v>
      </c>
      <c r="G18" s="11" t="n">
        <f aca="false">SUMIFS('Daily Summary'!D:D,'Daily Summary'!A:A,"&gt;="&amp;A18,'Daily Summary'!A:A,"&lt;="&amp;B18)</f>
        <v>0</v>
      </c>
      <c r="H18" s="13" t="n">
        <f aca="false">G18/7</f>
        <v>0</v>
      </c>
      <c r="I18" s="11" t="n">
        <f aca="false">SUMIFS('Daily Summary'!E:E,'Daily Summary'!A:A,"&gt;="&amp;A18,'Daily Summary'!A:A,"&lt;="&amp;B18)</f>
        <v>0</v>
      </c>
      <c r="J18" s="13" t="n">
        <f aca="false">I18/7</f>
        <v>0</v>
      </c>
      <c r="K18" s="11" t="n">
        <f aca="false">SUMIFS('Daily Summary'!F:F,'Daily Summary'!A:A,"&gt;="&amp;A18,'Daily Summary'!A:A,"&lt;="&amp;B18)</f>
        <v>0</v>
      </c>
      <c r="L18" s="14" t="n">
        <f aca="false">SUMIFS('Spending Log'!D:D,'Spending Log'!A:A,"&gt;="&amp;A18,'Spending Log'!A:A,"&lt;="&amp;B18,'Spending Log'!C:C,"Groceries")</f>
        <v>0</v>
      </c>
      <c r="M18" s="14" t="n">
        <f aca="false">SUMIFS('Spending Log'!D:D,'Spending Log'!A:A,"&gt;="&amp;A18,'Spending Log'!A:A,"&lt;="&amp;B18,'Spending Log'!C:C,"Alcohol/Beer")</f>
        <v>0</v>
      </c>
      <c r="N18" s="14" t="n">
        <f aca="false">SUMIFS('Spending Log'!D:D,'Spending Log'!A:A,"&gt;="&amp;A18,'Spending Log'!A:A,"&lt;="&amp;B18,'Spending Log'!C:C,"Eating Out")</f>
        <v>0</v>
      </c>
      <c r="O18" s="14" t="n">
        <f aca="false">SUMIFS('Spending Log'!D:D,'Spending Log'!A:A,"&gt;="&amp;A18,'Spending Log'!A:A,"&lt;="&amp;B18,'Spending Log'!C:C,"Other")</f>
        <v>0</v>
      </c>
      <c r="P18" s="14" t="n">
        <f aca="false">SUM(L18:O18)</f>
        <v>0</v>
      </c>
    </row>
    <row r="19" customFormat="false" ht="15" hidden="false" customHeight="true" outlineLevel="0" collapsed="false">
      <c r="A19" s="12" t="n">
        <f aca="false">A18+7</f>
        <v>98</v>
      </c>
      <c r="B19" s="12" t="n">
        <f aca="false">A19+6</f>
        <v>104</v>
      </c>
      <c r="C19" s="11" t="n">
        <f aca="false">SUMIFS('Daily Summary'!B:B,'Daily Summary'!A:A,"&gt;="&amp;A19,'Daily Summary'!A:A,"&lt;="&amp;B19)</f>
        <v>0</v>
      </c>
      <c r="D19" s="13" t="n">
        <f aca="false">C19/7</f>
        <v>0</v>
      </c>
      <c r="E19" s="11" t="n">
        <f aca="false">SUMIFS('Daily Summary'!C:C,'Daily Summary'!A:A,"&gt;="&amp;A19,'Daily Summary'!A:A,"&lt;="&amp;B19)</f>
        <v>0</v>
      </c>
      <c r="F19" s="13" t="n">
        <f aca="false">E19/7</f>
        <v>0</v>
      </c>
      <c r="G19" s="11" t="n">
        <f aca="false">SUMIFS('Daily Summary'!D:D,'Daily Summary'!A:A,"&gt;="&amp;A19,'Daily Summary'!A:A,"&lt;="&amp;B19)</f>
        <v>0</v>
      </c>
      <c r="H19" s="13" t="n">
        <f aca="false">G19/7</f>
        <v>0</v>
      </c>
      <c r="I19" s="11" t="n">
        <f aca="false">SUMIFS('Daily Summary'!E:E,'Daily Summary'!A:A,"&gt;="&amp;A19,'Daily Summary'!A:A,"&lt;="&amp;B19)</f>
        <v>0</v>
      </c>
      <c r="J19" s="13" t="n">
        <f aca="false">I19/7</f>
        <v>0</v>
      </c>
      <c r="K19" s="11" t="n">
        <f aca="false">SUMIFS('Daily Summary'!F:F,'Daily Summary'!A:A,"&gt;="&amp;A19,'Daily Summary'!A:A,"&lt;="&amp;B19)</f>
        <v>0</v>
      </c>
      <c r="L19" s="14" t="n">
        <f aca="false">SUMIFS('Spending Log'!D:D,'Spending Log'!A:A,"&gt;="&amp;A19,'Spending Log'!A:A,"&lt;="&amp;B19,'Spending Log'!C:C,"Groceries")</f>
        <v>0</v>
      </c>
      <c r="M19" s="14" t="n">
        <f aca="false">SUMIFS('Spending Log'!D:D,'Spending Log'!A:A,"&gt;="&amp;A19,'Spending Log'!A:A,"&lt;="&amp;B19,'Spending Log'!C:C,"Alcohol/Beer")</f>
        <v>0</v>
      </c>
      <c r="N19" s="14" t="n">
        <f aca="false">SUMIFS('Spending Log'!D:D,'Spending Log'!A:A,"&gt;="&amp;A19,'Spending Log'!A:A,"&lt;="&amp;B19,'Spending Log'!C:C,"Eating Out")</f>
        <v>0</v>
      </c>
      <c r="O19" s="14" t="n">
        <f aca="false">SUMIFS('Spending Log'!D:D,'Spending Log'!A:A,"&gt;="&amp;A19,'Spending Log'!A:A,"&lt;="&amp;B19,'Spending Log'!C:C,"Other")</f>
        <v>0</v>
      </c>
      <c r="P19" s="14" t="n">
        <f aca="false">SUM(L19:O19)</f>
        <v>0</v>
      </c>
    </row>
    <row r="20" customFormat="false" ht="15" hidden="false" customHeight="true" outlineLevel="0" collapsed="false">
      <c r="A20" s="12" t="n">
        <f aca="false">A19+7</f>
        <v>105</v>
      </c>
      <c r="B20" s="12" t="n">
        <f aca="false">A20+6</f>
        <v>111</v>
      </c>
      <c r="C20" s="11" t="n">
        <f aca="false">SUMIFS('Daily Summary'!B:B,'Daily Summary'!A:A,"&gt;="&amp;A20,'Daily Summary'!A:A,"&lt;="&amp;B20)</f>
        <v>0</v>
      </c>
      <c r="D20" s="13" t="n">
        <f aca="false">C20/7</f>
        <v>0</v>
      </c>
      <c r="E20" s="11" t="n">
        <f aca="false">SUMIFS('Daily Summary'!C:C,'Daily Summary'!A:A,"&gt;="&amp;A20,'Daily Summary'!A:A,"&lt;="&amp;B20)</f>
        <v>0</v>
      </c>
      <c r="F20" s="13" t="n">
        <f aca="false">E20/7</f>
        <v>0</v>
      </c>
      <c r="G20" s="11" t="n">
        <f aca="false">SUMIFS('Daily Summary'!D:D,'Daily Summary'!A:A,"&gt;="&amp;A20,'Daily Summary'!A:A,"&lt;="&amp;B20)</f>
        <v>0</v>
      </c>
      <c r="H20" s="13" t="n">
        <f aca="false">G20/7</f>
        <v>0</v>
      </c>
      <c r="I20" s="11" t="n">
        <f aca="false">SUMIFS('Daily Summary'!E:E,'Daily Summary'!A:A,"&gt;="&amp;A20,'Daily Summary'!A:A,"&lt;="&amp;B20)</f>
        <v>0</v>
      </c>
      <c r="J20" s="13" t="n">
        <f aca="false">I20/7</f>
        <v>0</v>
      </c>
      <c r="K20" s="11" t="n">
        <f aca="false">SUMIFS('Daily Summary'!F:F,'Daily Summary'!A:A,"&gt;="&amp;A20,'Daily Summary'!A:A,"&lt;="&amp;B20)</f>
        <v>0</v>
      </c>
      <c r="L20" s="14" t="n">
        <f aca="false">SUMIFS('Spending Log'!D:D,'Spending Log'!A:A,"&gt;="&amp;A20,'Spending Log'!A:A,"&lt;="&amp;B20,'Spending Log'!C:C,"Groceries")</f>
        <v>0</v>
      </c>
      <c r="M20" s="14" t="n">
        <f aca="false">SUMIFS('Spending Log'!D:D,'Spending Log'!A:A,"&gt;="&amp;A20,'Spending Log'!A:A,"&lt;="&amp;B20,'Spending Log'!C:C,"Alcohol/Beer")</f>
        <v>0</v>
      </c>
      <c r="N20" s="14" t="n">
        <f aca="false">SUMIFS('Spending Log'!D:D,'Spending Log'!A:A,"&gt;="&amp;A20,'Spending Log'!A:A,"&lt;="&amp;B20,'Spending Log'!C:C,"Eating Out")</f>
        <v>0</v>
      </c>
      <c r="O20" s="14" t="n">
        <f aca="false">SUMIFS('Spending Log'!D:D,'Spending Log'!A:A,"&gt;="&amp;A20,'Spending Log'!A:A,"&lt;="&amp;B20,'Spending Log'!C:C,"Other")</f>
        <v>0</v>
      </c>
      <c r="P20" s="14" t="n">
        <f aca="false">SUM(L20:O20)</f>
        <v>0</v>
      </c>
    </row>
    <row r="21" customFormat="false" ht="15" hidden="false" customHeight="true" outlineLevel="0" collapsed="false">
      <c r="A21" s="12" t="n">
        <f aca="false">A20+7</f>
        <v>112</v>
      </c>
      <c r="B21" s="12" t="n">
        <f aca="false">A21+6</f>
        <v>118</v>
      </c>
      <c r="C21" s="11" t="n">
        <f aca="false">SUMIFS('Daily Summary'!B:B,'Daily Summary'!A:A,"&gt;="&amp;A21,'Daily Summary'!A:A,"&lt;="&amp;B21)</f>
        <v>0</v>
      </c>
      <c r="D21" s="13" t="n">
        <f aca="false">C21/7</f>
        <v>0</v>
      </c>
      <c r="E21" s="11" t="n">
        <f aca="false">SUMIFS('Daily Summary'!C:C,'Daily Summary'!A:A,"&gt;="&amp;A21,'Daily Summary'!A:A,"&lt;="&amp;B21)</f>
        <v>0</v>
      </c>
      <c r="F21" s="13" t="n">
        <f aca="false">E21/7</f>
        <v>0</v>
      </c>
      <c r="G21" s="11" t="n">
        <f aca="false">SUMIFS('Daily Summary'!D:D,'Daily Summary'!A:A,"&gt;="&amp;A21,'Daily Summary'!A:A,"&lt;="&amp;B21)</f>
        <v>0</v>
      </c>
      <c r="H21" s="13" t="n">
        <f aca="false">G21/7</f>
        <v>0</v>
      </c>
      <c r="I21" s="11" t="n">
        <f aca="false">SUMIFS('Daily Summary'!E:E,'Daily Summary'!A:A,"&gt;="&amp;A21,'Daily Summary'!A:A,"&lt;="&amp;B21)</f>
        <v>0</v>
      </c>
      <c r="J21" s="13" t="n">
        <f aca="false">I21/7</f>
        <v>0</v>
      </c>
      <c r="K21" s="11" t="n">
        <f aca="false">SUMIFS('Daily Summary'!F:F,'Daily Summary'!A:A,"&gt;="&amp;A21,'Daily Summary'!A:A,"&lt;="&amp;B21)</f>
        <v>0</v>
      </c>
      <c r="L21" s="14" t="n">
        <f aca="false">SUMIFS('Spending Log'!D:D,'Spending Log'!A:A,"&gt;="&amp;A21,'Spending Log'!A:A,"&lt;="&amp;B21,'Spending Log'!C:C,"Groceries")</f>
        <v>0</v>
      </c>
      <c r="M21" s="14" t="n">
        <f aca="false">SUMIFS('Spending Log'!D:D,'Spending Log'!A:A,"&gt;="&amp;A21,'Spending Log'!A:A,"&lt;="&amp;B21,'Spending Log'!C:C,"Alcohol/Beer")</f>
        <v>0</v>
      </c>
      <c r="N21" s="14" t="n">
        <f aca="false">SUMIFS('Spending Log'!D:D,'Spending Log'!A:A,"&gt;="&amp;A21,'Spending Log'!A:A,"&lt;="&amp;B21,'Spending Log'!C:C,"Eating Out")</f>
        <v>0</v>
      </c>
      <c r="O21" s="14" t="n">
        <f aca="false">SUMIFS('Spending Log'!D:D,'Spending Log'!A:A,"&gt;="&amp;A21,'Spending Log'!A:A,"&lt;="&amp;B21,'Spending Log'!C:C,"Other")</f>
        <v>0</v>
      </c>
      <c r="P21" s="14" t="n">
        <f aca="false">SUM(L21:O21)</f>
        <v>0</v>
      </c>
    </row>
    <row r="22" customFormat="false" ht="15" hidden="false" customHeight="true" outlineLevel="0" collapsed="false">
      <c r="A22" s="12" t="n">
        <f aca="false">A21+7</f>
        <v>119</v>
      </c>
      <c r="B22" s="12" t="n">
        <f aca="false">A22+6</f>
        <v>125</v>
      </c>
      <c r="C22" s="11" t="n">
        <f aca="false">SUMIFS('Daily Summary'!B:B,'Daily Summary'!A:A,"&gt;="&amp;A22,'Daily Summary'!A:A,"&lt;="&amp;B22)</f>
        <v>0</v>
      </c>
      <c r="D22" s="13" t="n">
        <f aca="false">C22/7</f>
        <v>0</v>
      </c>
      <c r="E22" s="11" t="n">
        <f aca="false">SUMIFS('Daily Summary'!C:C,'Daily Summary'!A:A,"&gt;="&amp;A22,'Daily Summary'!A:A,"&lt;="&amp;B22)</f>
        <v>0</v>
      </c>
      <c r="F22" s="13" t="n">
        <f aca="false">E22/7</f>
        <v>0</v>
      </c>
      <c r="G22" s="11" t="n">
        <f aca="false">SUMIFS('Daily Summary'!D:D,'Daily Summary'!A:A,"&gt;="&amp;A22,'Daily Summary'!A:A,"&lt;="&amp;B22)</f>
        <v>0</v>
      </c>
      <c r="H22" s="13" t="n">
        <f aca="false">G22/7</f>
        <v>0</v>
      </c>
      <c r="I22" s="11" t="n">
        <f aca="false">SUMIFS('Daily Summary'!E:E,'Daily Summary'!A:A,"&gt;="&amp;A22,'Daily Summary'!A:A,"&lt;="&amp;B22)</f>
        <v>0</v>
      </c>
      <c r="J22" s="13" t="n">
        <f aca="false">I22/7</f>
        <v>0</v>
      </c>
      <c r="K22" s="11" t="n">
        <f aca="false">SUMIFS('Daily Summary'!F:F,'Daily Summary'!A:A,"&gt;="&amp;A22,'Daily Summary'!A:A,"&lt;="&amp;B22)</f>
        <v>0</v>
      </c>
      <c r="L22" s="14" t="n">
        <f aca="false">SUMIFS('Spending Log'!D:D,'Spending Log'!A:A,"&gt;="&amp;A22,'Spending Log'!A:A,"&lt;="&amp;B22,'Spending Log'!C:C,"Groceries")</f>
        <v>0</v>
      </c>
      <c r="M22" s="14" t="n">
        <f aca="false">SUMIFS('Spending Log'!D:D,'Spending Log'!A:A,"&gt;="&amp;A22,'Spending Log'!A:A,"&lt;="&amp;B22,'Spending Log'!C:C,"Alcohol/Beer")</f>
        <v>0</v>
      </c>
      <c r="N22" s="14" t="n">
        <f aca="false">SUMIFS('Spending Log'!D:D,'Spending Log'!A:A,"&gt;="&amp;A22,'Spending Log'!A:A,"&lt;="&amp;B22,'Spending Log'!C:C,"Eating Out")</f>
        <v>0</v>
      </c>
      <c r="O22" s="14" t="n">
        <f aca="false">SUMIFS('Spending Log'!D:D,'Spending Log'!A:A,"&gt;="&amp;A22,'Spending Log'!A:A,"&lt;="&amp;B22,'Spending Log'!C:C,"Other")</f>
        <v>0</v>
      </c>
      <c r="P22" s="14" t="n">
        <f aca="false">SUM(L22:O22)</f>
        <v>0</v>
      </c>
    </row>
    <row r="23" customFormat="false" ht="15" hidden="false" customHeight="true" outlineLevel="0" collapsed="false">
      <c r="A23" s="12" t="n">
        <f aca="false">A22+7</f>
        <v>126</v>
      </c>
      <c r="B23" s="12" t="n">
        <f aca="false">A23+6</f>
        <v>132</v>
      </c>
      <c r="C23" s="11" t="n">
        <f aca="false">SUMIFS('Daily Summary'!B:B,'Daily Summary'!A:A,"&gt;="&amp;A23,'Daily Summary'!A:A,"&lt;="&amp;B23)</f>
        <v>0</v>
      </c>
      <c r="D23" s="13" t="n">
        <f aca="false">C23/7</f>
        <v>0</v>
      </c>
      <c r="E23" s="11" t="n">
        <f aca="false">SUMIFS('Daily Summary'!C:C,'Daily Summary'!A:A,"&gt;="&amp;A23,'Daily Summary'!A:A,"&lt;="&amp;B23)</f>
        <v>0</v>
      </c>
      <c r="F23" s="13" t="n">
        <f aca="false">E23/7</f>
        <v>0</v>
      </c>
      <c r="G23" s="11" t="n">
        <f aca="false">SUMIFS('Daily Summary'!D:D,'Daily Summary'!A:A,"&gt;="&amp;A23,'Daily Summary'!A:A,"&lt;="&amp;B23)</f>
        <v>0</v>
      </c>
      <c r="H23" s="13" t="n">
        <f aca="false">G23/7</f>
        <v>0</v>
      </c>
      <c r="I23" s="11" t="n">
        <f aca="false">SUMIFS('Daily Summary'!E:E,'Daily Summary'!A:A,"&gt;="&amp;A23,'Daily Summary'!A:A,"&lt;="&amp;B23)</f>
        <v>0</v>
      </c>
      <c r="J23" s="13" t="n">
        <f aca="false">I23/7</f>
        <v>0</v>
      </c>
      <c r="K23" s="11" t="n">
        <f aca="false">SUMIFS('Daily Summary'!F:F,'Daily Summary'!A:A,"&gt;="&amp;A23,'Daily Summary'!A:A,"&lt;="&amp;B23)</f>
        <v>0</v>
      </c>
      <c r="L23" s="14" t="n">
        <f aca="false">SUMIFS('Spending Log'!D:D,'Spending Log'!A:A,"&gt;="&amp;A23,'Spending Log'!A:A,"&lt;="&amp;B23,'Spending Log'!C:C,"Groceries")</f>
        <v>0</v>
      </c>
      <c r="M23" s="14" t="n">
        <f aca="false">SUMIFS('Spending Log'!D:D,'Spending Log'!A:A,"&gt;="&amp;A23,'Spending Log'!A:A,"&lt;="&amp;B23,'Spending Log'!C:C,"Alcohol/Beer")</f>
        <v>0</v>
      </c>
      <c r="N23" s="14" t="n">
        <f aca="false">SUMIFS('Spending Log'!D:D,'Spending Log'!A:A,"&gt;="&amp;A23,'Spending Log'!A:A,"&lt;="&amp;B23,'Spending Log'!C:C,"Eating Out")</f>
        <v>0</v>
      </c>
      <c r="O23" s="14" t="n">
        <f aca="false">SUMIFS('Spending Log'!D:D,'Spending Log'!A:A,"&gt;="&amp;A23,'Spending Log'!A:A,"&lt;="&amp;B23,'Spending Log'!C:C,"Other")</f>
        <v>0</v>
      </c>
      <c r="P23" s="14" t="n">
        <f aca="false">SUM(L23:O23)</f>
        <v>0</v>
      </c>
    </row>
    <row r="24" customFormat="false" ht="15" hidden="false" customHeight="true" outlineLevel="0" collapsed="false">
      <c r="A24" s="12" t="n">
        <f aca="false">A23+7</f>
        <v>133</v>
      </c>
      <c r="B24" s="12" t="n">
        <f aca="false">A24+6</f>
        <v>139</v>
      </c>
      <c r="C24" s="11" t="n">
        <f aca="false">SUMIFS('Daily Summary'!B:B,'Daily Summary'!A:A,"&gt;="&amp;A24,'Daily Summary'!A:A,"&lt;="&amp;B24)</f>
        <v>0</v>
      </c>
      <c r="D24" s="13" t="n">
        <f aca="false">C24/7</f>
        <v>0</v>
      </c>
      <c r="E24" s="11" t="n">
        <f aca="false">SUMIFS('Daily Summary'!C:C,'Daily Summary'!A:A,"&gt;="&amp;A24,'Daily Summary'!A:A,"&lt;="&amp;B24)</f>
        <v>0</v>
      </c>
      <c r="F24" s="13" t="n">
        <f aca="false">E24/7</f>
        <v>0</v>
      </c>
      <c r="G24" s="11" t="n">
        <f aca="false">SUMIFS('Daily Summary'!D:D,'Daily Summary'!A:A,"&gt;="&amp;A24,'Daily Summary'!A:A,"&lt;="&amp;B24)</f>
        <v>0</v>
      </c>
      <c r="H24" s="13" t="n">
        <f aca="false">G24/7</f>
        <v>0</v>
      </c>
      <c r="I24" s="11" t="n">
        <f aca="false">SUMIFS('Daily Summary'!E:E,'Daily Summary'!A:A,"&gt;="&amp;A24,'Daily Summary'!A:A,"&lt;="&amp;B24)</f>
        <v>0</v>
      </c>
      <c r="J24" s="13" t="n">
        <f aca="false">I24/7</f>
        <v>0</v>
      </c>
      <c r="K24" s="11" t="n">
        <f aca="false">SUMIFS('Daily Summary'!F:F,'Daily Summary'!A:A,"&gt;="&amp;A24,'Daily Summary'!A:A,"&lt;="&amp;B24)</f>
        <v>0</v>
      </c>
      <c r="L24" s="14" t="n">
        <f aca="false">SUMIFS('Spending Log'!D:D,'Spending Log'!A:A,"&gt;="&amp;A24,'Spending Log'!A:A,"&lt;="&amp;B24,'Spending Log'!C:C,"Groceries")</f>
        <v>0</v>
      </c>
      <c r="M24" s="14" t="n">
        <f aca="false">SUMIFS('Spending Log'!D:D,'Spending Log'!A:A,"&gt;="&amp;A24,'Spending Log'!A:A,"&lt;="&amp;B24,'Spending Log'!C:C,"Alcohol/Beer")</f>
        <v>0</v>
      </c>
      <c r="N24" s="14" t="n">
        <f aca="false">SUMIFS('Spending Log'!D:D,'Spending Log'!A:A,"&gt;="&amp;A24,'Spending Log'!A:A,"&lt;="&amp;B24,'Spending Log'!C:C,"Eating Out")</f>
        <v>0</v>
      </c>
      <c r="O24" s="14" t="n">
        <f aca="false">SUMIFS('Spending Log'!D:D,'Spending Log'!A:A,"&gt;="&amp;A24,'Spending Log'!A:A,"&lt;="&amp;B24,'Spending Log'!C:C,"Other")</f>
        <v>0</v>
      </c>
      <c r="P24" s="14" t="n">
        <f aca="false">SUM(L24:O24)</f>
        <v>0</v>
      </c>
    </row>
    <row r="25" customFormat="false" ht="15" hidden="false" customHeight="true" outlineLevel="0" collapsed="false">
      <c r="A25" s="12" t="n">
        <f aca="false">A24+7</f>
        <v>140</v>
      </c>
      <c r="B25" s="12" t="n">
        <f aca="false">A25+6</f>
        <v>146</v>
      </c>
      <c r="C25" s="11" t="n">
        <f aca="false">SUMIFS('Daily Summary'!B:B,'Daily Summary'!A:A,"&gt;="&amp;A25,'Daily Summary'!A:A,"&lt;="&amp;B25)</f>
        <v>0</v>
      </c>
      <c r="D25" s="13" t="n">
        <f aca="false">C25/7</f>
        <v>0</v>
      </c>
      <c r="E25" s="11" t="n">
        <f aca="false">SUMIFS('Daily Summary'!C:C,'Daily Summary'!A:A,"&gt;="&amp;A25,'Daily Summary'!A:A,"&lt;="&amp;B25)</f>
        <v>0</v>
      </c>
      <c r="F25" s="13" t="n">
        <f aca="false">E25/7</f>
        <v>0</v>
      </c>
      <c r="G25" s="11" t="n">
        <f aca="false">SUMIFS('Daily Summary'!D:D,'Daily Summary'!A:A,"&gt;="&amp;A25,'Daily Summary'!A:A,"&lt;="&amp;B25)</f>
        <v>0</v>
      </c>
      <c r="H25" s="13" t="n">
        <f aca="false">G25/7</f>
        <v>0</v>
      </c>
      <c r="I25" s="11" t="n">
        <f aca="false">SUMIFS('Daily Summary'!E:E,'Daily Summary'!A:A,"&gt;="&amp;A25,'Daily Summary'!A:A,"&lt;="&amp;B25)</f>
        <v>0</v>
      </c>
      <c r="J25" s="13" t="n">
        <f aca="false">I25/7</f>
        <v>0</v>
      </c>
      <c r="K25" s="11" t="n">
        <f aca="false">SUMIFS('Daily Summary'!F:F,'Daily Summary'!A:A,"&gt;="&amp;A25,'Daily Summary'!A:A,"&lt;="&amp;B25)</f>
        <v>0</v>
      </c>
      <c r="L25" s="14" t="n">
        <f aca="false">SUMIFS('Spending Log'!D:D,'Spending Log'!A:A,"&gt;="&amp;A25,'Spending Log'!A:A,"&lt;="&amp;B25,'Spending Log'!C:C,"Groceries")</f>
        <v>0</v>
      </c>
      <c r="M25" s="14" t="n">
        <f aca="false">SUMIFS('Spending Log'!D:D,'Spending Log'!A:A,"&gt;="&amp;A25,'Spending Log'!A:A,"&lt;="&amp;B25,'Spending Log'!C:C,"Alcohol/Beer")</f>
        <v>0</v>
      </c>
      <c r="N25" s="14" t="n">
        <f aca="false">SUMIFS('Spending Log'!D:D,'Spending Log'!A:A,"&gt;="&amp;A25,'Spending Log'!A:A,"&lt;="&amp;B25,'Spending Log'!C:C,"Eating Out")</f>
        <v>0</v>
      </c>
      <c r="O25" s="14" t="n">
        <f aca="false">SUMIFS('Spending Log'!D:D,'Spending Log'!A:A,"&gt;="&amp;A25,'Spending Log'!A:A,"&lt;="&amp;B25,'Spending Log'!C:C,"Other")</f>
        <v>0</v>
      </c>
      <c r="P25" s="14" t="n">
        <f aca="false">SUM(L25:O25)</f>
        <v>0</v>
      </c>
    </row>
    <row r="26" customFormat="false" ht="15" hidden="false" customHeight="true" outlineLevel="0" collapsed="false">
      <c r="A26" s="12" t="n">
        <f aca="false">A25+7</f>
        <v>147</v>
      </c>
      <c r="B26" s="12" t="n">
        <f aca="false">A26+6</f>
        <v>153</v>
      </c>
      <c r="C26" s="11" t="n">
        <f aca="false">SUMIFS('Daily Summary'!B:B,'Daily Summary'!A:A,"&gt;="&amp;A26,'Daily Summary'!A:A,"&lt;="&amp;B26)</f>
        <v>0</v>
      </c>
      <c r="D26" s="13" t="n">
        <f aca="false">C26/7</f>
        <v>0</v>
      </c>
      <c r="E26" s="11" t="n">
        <f aca="false">SUMIFS('Daily Summary'!C:C,'Daily Summary'!A:A,"&gt;="&amp;A26,'Daily Summary'!A:A,"&lt;="&amp;B26)</f>
        <v>0</v>
      </c>
      <c r="F26" s="13" t="n">
        <f aca="false">E26/7</f>
        <v>0</v>
      </c>
      <c r="G26" s="11" t="n">
        <f aca="false">SUMIFS('Daily Summary'!D:D,'Daily Summary'!A:A,"&gt;="&amp;A26,'Daily Summary'!A:A,"&lt;="&amp;B26)</f>
        <v>0</v>
      </c>
      <c r="H26" s="13" t="n">
        <f aca="false">G26/7</f>
        <v>0</v>
      </c>
      <c r="I26" s="11" t="n">
        <f aca="false">SUMIFS('Daily Summary'!E:E,'Daily Summary'!A:A,"&gt;="&amp;A26,'Daily Summary'!A:A,"&lt;="&amp;B26)</f>
        <v>0</v>
      </c>
      <c r="J26" s="13" t="n">
        <f aca="false">I26/7</f>
        <v>0</v>
      </c>
      <c r="K26" s="11" t="n">
        <f aca="false">SUMIFS('Daily Summary'!F:F,'Daily Summary'!A:A,"&gt;="&amp;A26,'Daily Summary'!A:A,"&lt;="&amp;B26)</f>
        <v>0</v>
      </c>
      <c r="L26" s="14" t="n">
        <f aca="false">SUMIFS('Spending Log'!D:D,'Spending Log'!A:A,"&gt;="&amp;A26,'Spending Log'!A:A,"&lt;="&amp;B26,'Spending Log'!C:C,"Groceries")</f>
        <v>0</v>
      </c>
      <c r="M26" s="14" t="n">
        <f aca="false">SUMIFS('Spending Log'!D:D,'Spending Log'!A:A,"&gt;="&amp;A26,'Spending Log'!A:A,"&lt;="&amp;B26,'Spending Log'!C:C,"Alcohol/Beer")</f>
        <v>0</v>
      </c>
      <c r="N26" s="14" t="n">
        <f aca="false">SUMIFS('Spending Log'!D:D,'Spending Log'!A:A,"&gt;="&amp;A26,'Spending Log'!A:A,"&lt;="&amp;B26,'Spending Log'!C:C,"Eating Out")</f>
        <v>0</v>
      </c>
      <c r="O26" s="14" t="n">
        <f aca="false">SUMIFS('Spending Log'!D:D,'Spending Log'!A:A,"&gt;="&amp;A26,'Spending Log'!A:A,"&lt;="&amp;B26,'Spending Log'!C:C,"Other")</f>
        <v>0</v>
      </c>
      <c r="P26" s="14" t="n">
        <f aca="false">SUM(L26:O26)</f>
        <v>0</v>
      </c>
    </row>
    <row r="27" customFormat="false" ht="15" hidden="false" customHeight="true" outlineLevel="0" collapsed="false">
      <c r="A27" s="12" t="n">
        <f aca="false">A26+7</f>
        <v>154</v>
      </c>
      <c r="B27" s="12" t="n">
        <f aca="false">A27+6</f>
        <v>160</v>
      </c>
      <c r="C27" s="11" t="n">
        <f aca="false">SUMIFS('Daily Summary'!B:B,'Daily Summary'!A:A,"&gt;="&amp;A27,'Daily Summary'!A:A,"&lt;="&amp;B27)</f>
        <v>0</v>
      </c>
      <c r="D27" s="13" t="n">
        <f aca="false">C27/7</f>
        <v>0</v>
      </c>
      <c r="E27" s="11" t="n">
        <f aca="false">SUMIFS('Daily Summary'!C:C,'Daily Summary'!A:A,"&gt;="&amp;A27,'Daily Summary'!A:A,"&lt;="&amp;B27)</f>
        <v>0</v>
      </c>
      <c r="F27" s="13" t="n">
        <f aca="false">E27/7</f>
        <v>0</v>
      </c>
      <c r="G27" s="11" t="n">
        <f aca="false">SUMIFS('Daily Summary'!D:D,'Daily Summary'!A:A,"&gt;="&amp;A27,'Daily Summary'!A:A,"&lt;="&amp;B27)</f>
        <v>0</v>
      </c>
      <c r="H27" s="13" t="n">
        <f aca="false">G27/7</f>
        <v>0</v>
      </c>
      <c r="I27" s="11" t="n">
        <f aca="false">SUMIFS('Daily Summary'!E:E,'Daily Summary'!A:A,"&gt;="&amp;A27,'Daily Summary'!A:A,"&lt;="&amp;B27)</f>
        <v>0</v>
      </c>
      <c r="J27" s="13" t="n">
        <f aca="false">I27/7</f>
        <v>0</v>
      </c>
      <c r="K27" s="11" t="n">
        <f aca="false">SUMIFS('Daily Summary'!F:F,'Daily Summary'!A:A,"&gt;="&amp;A27,'Daily Summary'!A:A,"&lt;="&amp;B27)</f>
        <v>0</v>
      </c>
      <c r="L27" s="14" t="n">
        <f aca="false">SUMIFS('Spending Log'!D:D,'Spending Log'!A:A,"&gt;="&amp;A27,'Spending Log'!A:A,"&lt;="&amp;B27,'Spending Log'!C:C,"Groceries")</f>
        <v>0</v>
      </c>
      <c r="M27" s="14" t="n">
        <f aca="false">SUMIFS('Spending Log'!D:D,'Spending Log'!A:A,"&gt;="&amp;A27,'Spending Log'!A:A,"&lt;="&amp;B27,'Spending Log'!C:C,"Alcohol/Beer")</f>
        <v>0</v>
      </c>
      <c r="N27" s="14" t="n">
        <f aca="false">SUMIFS('Spending Log'!D:D,'Spending Log'!A:A,"&gt;="&amp;A27,'Spending Log'!A:A,"&lt;="&amp;B27,'Spending Log'!C:C,"Eating Out")</f>
        <v>0</v>
      </c>
      <c r="O27" s="14" t="n">
        <f aca="false">SUMIFS('Spending Log'!D:D,'Spending Log'!A:A,"&gt;="&amp;A27,'Spending Log'!A:A,"&lt;="&amp;B27,'Spending Log'!C:C,"Other")</f>
        <v>0</v>
      </c>
      <c r="P27" s="14" t="n">
        <f aca="false">SUM(L27:O27)</f>
        <v>0</v>
      </c>
    </row>
    <row r="28" customFormat="false" ht="15" hidden="false" customHeight="true" outlineLevel="0" collapsed="false">
      <c r="A28" s="12" t="n">
        <f aca="false">A27+7</f>
        <v>161</v>
      </c>
      <c r="B28" s="12" t="n">
        <f aca="false">A28+6</f>
        <v>167</v>
      </c>
      <c r="C28" s="11" t="n">
        <f aca="false">SUMIFS('Daily Summary'!B:B,'Daily Summary'!A:A,"&gt;="&amp;A28,'Daily Summary'!A:A,"&lt;="&amp;B28)</f>
        <v>0</v>
      </c>
      <c r="D28" s="13" t="n">
        <f aca="false">C28/7</f>
        <v>0</v>
      </c>
      <c r="E28" s="11" t="n">
        <f aca="false">SUMIFS('Daily Summary'!C:C,'Daily Summary'!A:A,"&gt;="&amp;A28,'Daily Summary'!A:A,"&lt;="&amp;B28)</f>
        <v>0</v>
      </c>
      <c r="F28" s="13" t="n">
        <f aca="false">E28/7</f>
        <v>0</v>
      </c>
      <c r="G28" s="11" t="n">
        <f aca="false">SUMIFS('Daily Summary'!D:D,'Daily Summary'!A:A,"&gt;="&amp;A28,'Daily Summary'!A:A,"&lt;="&amp;B28)</f>
        <v>0</v>
      </c>
      <c r="H28" s="13" t="n">
        <f aca="false">G28/7</f>
        <v>0</v>
      </c>
      <c r="I28" s="11" t="n">
        <f aca="false">SUMIFS('Daily Summary'!E:E,'Daily Summary'!A:A,"&gt;="&amp;A28,'Daily Summary'!A:A,"&lt;="&amp;B28)</f>
        <v>0</v>
      </c>
      <c r="J28" s="13" t="n">
        <f aca="false">I28/7</f>
        <v>0</v>
      </c>
      <c r="K28" s="11" t="n">
        <f aca="false">SUMIFS('Daily Summary'!F:F,'Daily Summary'!A:A,"&gt;="&amp;A28,'Daily Summary'!A:A,"&lt;="&amp;B28)</f>
        <v>0</v>
      </c>
      <c r="L28" s="14" t="n">
        <f aca="false">SUMIFS('Spending Log'!D:D,'Spending Log'!A:A,"&gt;="&amp;A28,'Spending Log'!A:A,"&lt;="&amp;B28,'Spending Log'!C:C,"Groceries")</f>
        <v>0</v>
      </c>
      <c r="M28" s="14" t="n">
        <f aca="false">SUMIFS('Spending Log'!D:D,'Spending Log'!A:A,"&gt;="&amp;A28,'Spending Log'!A:A,"&lt;="&amp;B28,'Spending Log'!C:C,"Alcohol/Beer")</f>
        <v>0</v>
      </c>
      <c r="N28" s="14" t="n">
        <f aca="false">SUMIFS('Spending Log'!D:D,'Spending Log'!A:A,"&gt;="&amp;A28,'Spending Log'!A:A,"&lt;="&amp;B28,'Spending Log'!C:C,"Eating Out")</f>
        <v>0</v>
      </c>
      <c r="O28" s="14" t="n">
        <f aca="false">SUMIFS('Spending Log'!D:D,'Spending Log'!A:A,"&gt;="&amp;A28,'Spending Log'!A:A,"&lt;="&amp;B28,'Spending Log'!C:C,"Other")</f>
        <v>0</v>
      </c>
      <c r="P28" s="14" t="n">
        <f aca="false">SUM(L28:O28)</f>
        <v>0</v>
      </c>
    </row>
    <row r="29" customFormat="false" ht="15" hidden="false" customHeight="true" outlineLevel="0" collapsed="false">
      <c r="A29" s="12" t="n">
        <f aca="false">A28+7</f>
        <v>168</v>
      </c>
      <c r="B29" s="12" t="n">
        <f aca="false">A29+6</f>
        <v>174</v>
      </c>
      <c r="C29" s="11" t="n">
        <f aca="false">SUMIFS('Daily Summary'!B:B,'Daily Summary'!A:A,"&gt;="&amp;A29,'Daily Summary'!A:A,"&lt;="&amp;B29)</f>
        <v>0</v>
      </c>
      <c r="D29" s="13" t="n">
        <f aca="false">C29/7</f>
        <v>0</v>
      </c>
      <c r="E29" s="11" t="n">
        <f aca="false">SUMIFS('Daily Summary'!C:C,'Daily Summary'!A:A,"&gt;="&amp;A29,'Daily Summary'!A:A,"&lt;="&amp;B29)</f>
        <v>0</v>
      </c>
      <c r="F29" s="13" t="n">
        <f aca="false">E29/7</f>
        <v>0</v>
      </c>
      <c r="G29" s="11" t="n">
        <f aca="false">SUMIFS('Daily Summary'!D:D,'Daily Summary'!A:A,"&gt;="&amp;A29,'Daily Summary'!A:A,"&lt;="&amp;B29)</f>
        <v>0</v>
      </c>
      <c r="H29" s="13" t="n">
        <f aca="false">G29/7</f>
        <v>0</v>
      </c>
      <c r="I29" s="11" t="n">
        <f aca="false">SUMIFS('Daily Summary'!E:E,'Daily Summary'!A:A,"&gt;="&amp;A29,'Daily Summary'!A:A,"&lt;="&amp;B29)</f>
        <v>0</v>
      </c>
      <c r="J29" s="13" t="n">
        <f aca="false">I29/7</f>
        <v>0</v>
      </c>
      <c r="K29" s="11" t="n">
        <f aca="false">SUMIFS('Daily Summary'!F:F,'Daily Summary'!A:A,"&gt;="&amp;A29,'Daily Summary'!A:A,"&lt;="&amp;B29)</f>
        <v>0</v>
      </c>
      <c r="L29" s="14" t="n">
        <f aca="false">SUMIFS('Spending Log'!D:D,'Spending Log'!A:A,"&gt;="&amp;A29,'Spending Log'!A:A,"&lt;="&amp;B29,'Spending Log'!C:C,"Groceries")</f>
        <v>0</v>
      </c>
      <c r="M29" s="14" t="n">
        <f aca="false">SUMIFS('Spending Log'!D:D,'Spending Log'!A:A,"&gt;="&amp;A29,'Spending Log'!A:A,"&lt;="&amp;B29,'Spending Log'!C:C,"Alcohol/Beer")</f>
        <v>0</v>
      </c>
      <c r="N29" s="14" t="n">
        <f aca="false">SUMIFS('Spending Log'!D:D,'Spending Log'!A:A,"&gt;="&amp;A29,'Spending Log'!A:A,"&lt;="&amp;B29,'Spending Log'!C:C,"Eating Out")</f>
        <v>0</v>
      </c>
      <c r="O29" s="14" t="n">
        <f aca="false">SUMIFS('Spending Log'!D:D,'Spending Log'!A:A,"&gt;="&amp;A29,'Spending Log'!A:A,"&lt;="&amp;B29,'Spending Log'!C:C,"Other")</f>
        <v>0</v>
      </c>
      <c r="P29" s="14" t="n">
        <f aca="false">SUM(L29:O29)</f>
        <v>0</v>
      </c>
    </row>
    <row r="30" customFormat="false" ht="15" hidden="false" customHeight="true" outlineLevel="0" collapsed="false">
      <c r="A30" s="12" t="n">
        <f aca="false">A29+7</f>
        <v>175</v>
      </c>
      <c r="B30" s="12" t="n">
        <f aca="false">A30+6</f>
        <v>181</v>
      </c>
      <c r="C30" s="11" t="n">
        <f aca="false">SUMIFS('Daily Summary'!B:B,'Daily Summary'!A:A,"&gt;="&amp;A30,'Daily Summary'!A:A,"&lt;="&amp;B30)</f>
        <v>0</v>
      </c>
      <c r="D30" s="13" t="n">
        <f aca="false">C30/7</f>
        <v>0</v>
      </c>
      <c r="E30" s="11" t="n">
        <f aca="false">SUMIFS('Daily Summary'!C:C,'Daily Summary'!A:A,"&gt;="&amp;A30,'Daily Summary'!A:A,"&lt;="&amp;B30)</f>
        <v>0</v>
      </c>
      <c r="F30" s="13" t="n">
        <f aca="false">E30/7</f>
        <v>0</v>
      </c>
      <c r="G30" s="11" t="n">
        <f aca="false">SUMIFS('Daily Summary'!D:D,'Daily Summary'!A:A,"&gt;="&amp;A30,'Daily Summary'!A:A,"&lt;="&amp;B30)</f>
        <v>0</v>
      </c>
      <c r="H30" s="13" t="n">
        <f aca="false">G30/7</f>
        <v>0</v>
      </c>
      <c r="I30" s="11" t="n">
        <f aca="false">SUMIFS('Daily Summary'!E:E,'Daily Summary'!A:A,"&gt;="&amp;A30,'Daily Summary'!A:A,"&lt;="&amp;B30)</f>
        <v>0</v>
      </c>
      <c r="J30" s="13" t="n">
        <f aca="false">I30/7</f>
        <v>0</v>
      </c>
      <c r="K30" s="11" t="n">
        <f aca="false">SUMIFS('Daily Summary'!F:F,'Daily Summary'!A:A,"&gt;="&amp;A30,'Daily Summary'!A:A,"&lt;="&amp;B30)</f>
        <v>0</v>
      </c>
      <c r="L30" s="14" t="n">
        <f aca="false">SUMIFS('Spending Log'!D:D,'Spending Log'!A:A,"&gt;="&amp;A30,'Spending Log'!A:A,"&lt;="&amp;B30,'Spending Log'!C:C,"Groceries")</f>
        <v>0</v>
      </c>
      <c r="M30" s="14" t="n">
        <f aca="false">SUMIFS('Spending Log'!D:D,'Spending Log'!A:A,"&gt;="&amp;A30,'Spending Log'!A:A,"&lt;="&amp;B30,'Spending Log'!C:C,"Alcohol/Beer")</f>
        <v>0</v>
      </c>
      <c r="N30" s="14" t="n">
        <f aca="false">SUMIFS('Spending Log'!D:D,'Spending Log'!A:A,"&gt;="&amp;A30,'Spending Log'!A:A,"&lt;="&amp;B30,'Spending Log'!C:C,"Eating Out")</f>
        <v>0</v>
      </c>
      <c r="O30" s="14" t="n">
        <f aca="false">SUMIFS('Spending Log'!D:D,'Spending Log'!A:A,"&gt;="&amp;A30,'Spending Log'!A:A,"&lt;="&amp;B30,'Spending Log'!C:C,"Other")</f>
        <v>0</v>
      </c>
      <c r="P30" s="14" t="n">
        <f aca="false">SUM(L30:O30)</f>
        <v>0</v>
      </c>
    </row>
    <row r="31" customFormat="false" ht="15" hidden="false" customHeight="true" outlineLevel="0" collapsed="false">
      <c r="A31" s="12" t="n">
        <f aca="false">A30+7</f>
        <v>182</v>
      </c>
      <c r="B31" s="12" t="n">
        <f aca="false">A31+6</f>
        <v>188</v>
      </c>
      <c r="C31" s="11" t="n">
        <f aca="false">SUMIFS('Daily Summary'!B:B,'Daily Summary'!A:A,"&gt;="&amp;A31,'Daily Summary'!A:A,"&lt;="&amp;B31)</f>
        <v>0</v>
      </c>
      <c r="D31" s="13" t="n">
        <f aca="false">C31/7</f>
        <v>0</v>
      </c>
      <c r="E31" s="11" t="n">
        <f aca="false">SUMIFS('Daily Summary'!C:C,'Daily Summary'!A:A,"&gt;="&amp;A31,'Daily Summary'!A:A,"&lt;="&amp;B31)</f>
        <v>0</v>
      </c>
      <c r="F31" s="13" t="n">
        <f aca="false">E31/7</f>
        <v>0</v>
      </c>
      <c r="G31" s="11" t="n">
        <f aca="false">SUMIFS('Daily Summary'!D:D,'Daily Summary'!A:A,"&gt;="&amp;A31,'Daily Summary'!A:A,"&lt;="&amp;B31)</f>
        <v>0</v>
      </c>
      <c r="H31" s="13" t="n">
        <f aca="false">G31/7</f>
        <v>0</v>
      </c>
      <c r="I31" s="11" t="n">
        <f aca="false">SUMIFS('Daily Summary'!E:E,'Daily Summary'!A:A,"&gt;="&amp;A31,'Daily Summary'!A:A,"&lt;="&amp;B31)</f>
        <v>0</v>
      </c>
      <c r="J31" s="13" t="n">
        <f aca="false">I31/7</f>
        <v>0</v>
      </c>
      <c r="K31" s="11" t="n">
        <f aca="false">SUMIFS('Daily Summary'!F:F,'Daily Summary'!A:A,"&gt;="&amp;A31,'Daily Summary'!A:A,"&lt;="&amp;B31)</f>
        <v>0</v>
      </c>
      <c r="L31" s="14" t="n">
        <f aca="false">SUMIFS('Spending Log'!D:D,'Spending Log'!A:A,"&gt;="&amp;A31,'Spending Log'!A:A,"&lt;="&amp;B31,'Spending Log'!C:C,"Groceries")</f>
        <v>0</v>
      </c>
      <c r="M31" s="14" t="n">
        <f aca="false">SUMIFS('Spending Log'!D:D,'Spending Log'!A:A,"&gt;="&amp;A31,'Spending Log'!A:A,"&lt;="&amp;B31,'Spending Log'!C:C,"Alcohol/Beer")</f>
        <v>0</v>
      </c>
      <c r="N31" s="14" t="n">
        <f aca="false">SUMIFS('Spending Log'!D:D,'Spending Log'!A:A,"&gt;="&amp;A31,'Spending Log'!A:A,"&lt;="&amp;B31,'Spending Log'!C:C,"Eating Out")</f>
        <v>0</v>
      </c>
      <c r="O31" s="14" t="n">
        <f aca="false">SUMIFS('Spending Log'!D:D,'Spending Log'!A:A,"&gt;="&amp;A31,'Spending Log'!A:A,"&lt;="&amp;B31,'Spending Log'!C:C,"Other")</f>
        <v>0</v>
      </c>
      <c r="P31" s="14" t="n">
        <f aca="false">SUM(L31:O31)</f>
        <v>0</v>
      </c>
    </row>
    <row r="32" customFormat="false" ht="15" hidden="false" customHeight="true" outlineLevel="0" collapsed="false">
      <c r="A32" s="12" t="n">
        <f aca="false">A31+7</f>
        <v>189</v>
      </c>
      <c r="B32" s="12" t="n">
        <f aca="false">A32+6</f>
        <v>195</v>
      </c>
      <c r="C32" s="11" t="n">
        <f aca="false">SUMIFS('Daily Summary'!B:B,'Daily Summary'!A:A,"&gt;="&amp;A32,'Daily Summary'!A:A,"&lt;="&amp;B32)</f>
        <v>0</v>
      </c>
      <c r="D32" s="13" t="n">
        <f aca="false">C32/7</f>
        <v>0</v>
      </c>
      <c r="E32" s="11" t="n">
        <f aca="false">SUMIFS('Daily Summary'!C:C,'Daily Summary'!A:A,"&gt;="&amp;A32,'Daily Summary'!A:A,"&lt;="&amp;B32)</f>
        <v>0</v>
      </c>
      <c r="F32" s="13" t="n">
        <f aca="false">E32/7</f>
        <v>0</v>
      </c>
      <c r="G32" s="11" t="n">
        <f aca="false">SUMIFS('Daily Summary'!D:D,'Daily Summary'!A:A,"&gt;="&amp;A32,'Daily Summary'!A:A,"&lt;="&amp;B32)</f>
        <v>0</v>
      </c>
      <c r="H32" s="13" t="n">
        <f aca="false">G32/7</f>
        <v>0</v>
      </c>
      <c r="I32" s="11" t="n">
        <f aca="false">SUMIFS('Daily Summary'!E:E,'Daily Summary'!A:A,"&gt;="&amp;A32,'Daily Summary'!A:A,"&lt;="&amp;B32)</f>
        <v>0</v>
      </c>
      <c r="J32" s="13" t="n">
        <f aca="false">I32/7</f>
        <v>0</v>
      </c>
      <c r="K32" s="11" t="n">
        <f aca="false">SUMIFS('Daily Summary'!F:F,'Daily Summary'!A:A,"&gt;="&amp;A32,'Daily Summary'!A:A,"&lt;="&amp;B32)</f>
        <v>0</v>
      </c>
      <c r="L32" s="14" t="n">
        <f aca="false">SUMIFS('Spending Log'!D:D,'Spending Log'!A:A,"&gt;="&amp;A32,'Spending Log'!A:A,"&lt;="&amp;B32,'Spending Log'!C:C,"Groceries")</f>
        <v>0</v>
      </c>
      <c r="M32" s="14" t="n">
        <f aca="false">SUMIFS('Spending Log'!D:D,'Spending Log'!A:A,"&gt;="&amp;A32,'Spending Log'!A:A,"&lt;="&amp;B32,'Spending Log'!C:C,"Alcohol/Beer")</f>
        <v>0</v>
      </c>
      <c r="N32" s="14" t="n">
        <f aca="false">SUMIFS('Spending Log'!D:D,'Spending Log'!A:A,"&gt;="&amp;A32,'Spending Log'!A:A,"&lt;="&amp;B32,'Spending Log'!C:C,"Eating Out")</f>
        <v>0</v>
      </c>
      <c r="O32" s="14" t="n">
        <f aca="false">SUMIFS('Spending Log'!D:D,'Spending Log'!A:A,"&gt;="&amp;A32,'Spending Log'!A:A,"&lt;="&amp;B32,'Spending Log'!C:C,"Other")</f>
        <v>0</v>
      </c>
      <c r="P32" s="14" t="n">
        <f aca="false">SUM(L32:O32)</f>
        <v>0</v>
      </c>
    </row>
    <row r="33" customFormat="false" ht="15" hidden="false" customHeight="true" outlineLevel="0" collapsed="false">
      <c r="A33" s="12" t="n">
        <f aca="false">A32+7</f>
        <v>196</v>
      </c>
      <c r="B33" s="12" t="n">
        <f aca="false">A33+6</f>
        <v>202</v>
      </c>
      <c r="C33" s="11" t="n">
        <f aca="false">SUMIFS('Daily Summary'!B:B,'Daily Summary'!A:A,"&gt;="&amp;A33,'Daily Summary'!A:A,"&lt;="&amp;B33)</f>
        <v>0</v>
      </c>
      <c r="D33" s="13" t="n">
        <f aca="false">C33/7</f>
        <v>0</v>
      </c>
      <c r="E33" s="11" t="n">
        <f aca="false">SUMIFS('Daily Summary'!C:C,'Daily Summary'!A:A,"&gt;="&amp;A33,'Daily Summary'!A:A,"&lt;="&amp;B33)</f>
        <v>0</v>
      </c>
      <c r="F33" s="13" t="n">
        <f aca="false">E33/7</f>
        <v>0</v>
      </c>
      <c r="G33" s="11" t="n">
        <f aca="false">SUMIFS('Daily Summary'!D:D,'Daily Summary'!A:A,"&gt;="&amp;A33,'Daily Summary'!A:A,"&lt;="&amp;B33)</f>
        <v>0</v>
      </c>
      <c r="H33" s="13" t="n">
        <f aca="false">G33/7</f>
        <v>0</v>
      </c>
      <c r="I33" s="11" t="n">
        <f aca="false">SUMIFS('Daily Summary'!E:E,'Daily Summary'!A:A,"&gt;="&amp;A33,'Daily Summary'!A:A,"&lt;="&amp;B33)</f>
        <v>0</v>
      </c>
      <c r="J33" s="13" t="n">
        <f aca="false">I33/7</f>
        <v>0</v>
      </c>
      <c r="K33" s="11" t="n">
        <f aca="false">SUMIFS('Daily Summary'!F:F,'Daily Summary'!A:A,"&gt;="&amp;A33,'Daily Summary'!A:A,"&lt;="&amp;B33)</f>
        <v>0</v>
      </c>
      <c r="L33" s="14" t="n">
        <f aca="false">SUMIFS('Spending Log'!D:D,'Spending Log'!A:A,"&gt;="&amp;A33,'Spending Log'!A:A,"&lt;="&amp;B33,'Spending Log'!C:C,"Groceries")</f>
        <v>0</v>
      </c>
      <c r="M33" s="14" t="n">
        <f aca="false">SUMIFS('Spending Log'!D:D,'Spending Log'!A:A,"&gt;="&amp;A33,'Spending Log'!A:A,"&lt;="&amp;B33,'Spending Log'!C:C,"Alcohol/Beer")</f>
        <v>0</v>
      </c>
      <c r="N33" s="14" t="n">
        <f aca="false">SUMIFS('Spending Log'!D:D,'Spending Log'!A:A,"&gt;="&amp;A33,'Spending Log'!A:A,"&lt;="&amp;B33,'Spending Log'!C:C,"Eating Out")</f>
        <v>0</v>
      </c>
      <c r="O33" s="14" t="n">
        <f aca="false">SUMIFS('Spending Log'!D:D,'Spending Log'!A:A,"&gt;="&amp;A33,'Spending Log'!A:A,"&lt;="&amp;B33,'Spending Log'!C:C,"Other")</f>
        <v>0</v>
      </c>
      <c r="P33" s="14" t="n">
        <f aca="false">SUM(L33:O33)</f>
        <v>0</v>
      </c>
    </row>
    <row r="34" customFormat="false" ht="15" hidden="false" customHeight="true" outlineLevel="0" collapsed="false">
      <c r="A34" s="12" t="n">
        <f aca="false">A33+7</f>
        <v>203</v>
      </c>
      <c r="B34" s="12" t="n">
        <f aca="false">A34+6</f>
        <v>209</v>
      </c>
      <c r="C34" s="11" t="n">
        <f aca="false">SUMIFS('Daily Summary'!B:B,'Daily Summary'!A:A,"&gt;="&amp;A34,'Daily Summary'!A:A,"&lt;="&amp;B34)</f>
        <v>0</v>
      </c>
      <c r="D34" s="13" t="n">
        <f aca="false">C34/7</f>
        <v>0</v>
      </c>
      <c r="E34" s="11" t="n">
        <f aca="false">SUMIFS('Daily Summary'!C:C,'Daily Summary'!A:A,"&gt;="&amp;A34,'Daily Summary'!A:A,"&lt;="&amp;B34)</f>
        <v>0</v>
      </c>
      <c r="F34" s="13" t="n">
        <f aca="false">E34/7</f>
        <v>0</v>
      </c>
      <c r="G34" s="11" t="n">
        <f aca="false">SUMIFS('Daily Summary'!D:D,'Daily Summary'!A:A,"&gt;="&amp;A34,'Daily Summary'!A:A,"&lt;="&amp;B34)</f>
        <v>0</v>
      </c>
      <c r="H34" s="13" t="n">
        <f aca="false">G34/7</f>
        <v>0</v>
      </c>
      <c r="I34" s="11" t="n">
        <f aca="false">SUMIFS('Daily Summary'!E:E,'Daily Summary'!A:A,"&gt;="&amp;A34,'Daily Summary'!A:A,"&lt;="&amp;B34)</f>
        <v>0</v>
      </c>
      <c r="J34" s="13" t="n">
        <f aca="false">I34/7</f>
        <v>0</v>
      </c>
      <c r="K34" s="11" t="n">
        <f aca="false">SUMIFS('Daily Summary'!F:F,'Daily Summary'!A:A,"&gt;="&amp;A34,'Daily Summary'!A:A,"&lt;="&amp;B34)</f>
        <v>0</v>
      </c>
      <c r="L34" s="14" t="n">
        <f aca="false">SUMIFS('Spending Log'!D:D,'Spending Log'!A:A,"&gt;="&amp;A34,'Spending Log'!A:A,"&lt;="&amp;B34,'Spending Log'!C:C,"Groceries")</f>
        <v>0</v>
      </c>
      <c r="M34" s="14" t="n">
        <f aca="false">SUMIFS('Spending Log'!D:D,'Spending Log'!A:A,"&gt;="&amp;A34,'Spending Log'!A:A,"&lt;="&amp;B34,'Spending Log'!C:C,"Alcohol/Beer")</f>
        <v>0</v>
      </c>
      <c r="N34" s="14" t="n">
        <f aca="false">SUMIFS('Spending Log'!D:D,'Spending Log'!A:A,"&gt;="&amp;A34,'Spending Log'!A:A,"&lt;="&amp;B34,'Spending Log'!C:C,"Eating Out")</f>
        <v>0</v>
      </c>
      <c r="O34" s="14" t="n">
        <f aca="false">SUMIFS('Spending Log'!D:D,'Spending Log'!A:A,"&gt;="&amp;A34,'Spending Log'!A:A,"&lt;="&amp;B34,'Spending Log'!C:C,"Other")</f>
        <v>0</v>
      </c>
      <c r="P34" s="14" t="n">
        <f aca="false">SUM(L34:O34)</f>
        <v>0</v>
      </c>
    </row>
    <row r="35" customFormat="false" ht="15" hidden="false" customHeight="true" outlineLevel="0" collapsed="false">
      <c r="A35" s="12" t="n">
        <f aca="false">A34+7</f>
        <v>210</v>
      </c>
      <c r="B35" s="12" t="n">
        <f aca="false">A35+6</f>
        <v>216</v>
      </c>
      <c r="C35" s="11" t="n">
        <f aca="false">SUMIFS('Daily Summary'!B:B,'Daily Summary'!A:A,"&gt;="&amp;A35,'Daily Summary'!A:A,"&lt;="&amp;B35)</f>
        <v>0</v>
      </c>
      <c r="D35" s="13" t="n">
        <f aca="false">C35/7</f>
        <v>0</v>
      </c>
      <c r="E35" s="11" t="n">
        <f aca="false">SUMIFS('Daily Summary'!C:C,'Daily Summary'!A:A,"&gt;="&amp;A35,'Daily Summary'!A:A,"&lt;="&amp;B35)</f>
        <v>0</v>
      </c>
      <c r="F35" s="13" t="n">
        <f aca="false">E35/7</f>
        <v>0</v>
      </c>
      <c r="G35" s="11" t="n">
        <f aca="false">SUMIFS('Daily Summary'!D:D,'Daily Summary'!A:A,"&gt;="&amp;A35,'Daily Summary'!A:A,"&lt;="&amp;B35)</f>
        <v>0</v>
      </c>
      <c r="H35" s="13" t="n">
        <f aca="false">G35/7</f>
        <v>0</v>
      </c>
      <c r="I35" s="11" t="n">
        <f aca="false">SUMIFS('Daily Summary'!E:E,'Daily Summary'!A:A,"&gt;="&amp;A35,'Daily Summary'!A:A,"&lt;="&amp;B35)</f>
        <v>0</v>
      </c>
      <c r="J35" s="13" t="n">
        <f aca="false">I35/7</f>
        <v>0</v>
      </c>
      <c r="K35" s="11" t="n">
        <f aca="false">SUMIFS('Daily Summary'!F:F,'Daily Summary'!A:A,"&gt;="&amp;A35,'Daily Summary'!A:A,"&lt;="&amp;B35)</f>
        <v>0</v>
      </c>
      <c r="L35" s="14" t="n">
        <f aca="false">SUMIFS('Spending Log'!D:D,'Spending Log'!A:A,"&gt;="&amp;A35,'Spending Log'!A:A,"&lt;="&amp;B35,'Spending Log'!C:C,"Groceries")</f>
        <v>0</v>
      </c>
      <c r="M35" s="14" t="n">
        <f aca="false">SUMIFS('Spending Log'!D:D,'Spending Log'!A:A,"&gt;="&amp;A35,'Spending Log'!A:A,"&lt;="&amp;B35,'Spending Log'!C:C,"Alcohol/Beer")</f>
        <v>0</v>
      </c>
      <c r="N35" s="14" t="n">
        <f aca="false">SUMIFS('Spending Log'!D:D,'Spending Log'!A:A,"&gt;="&amp;A35,'Spending Log'!A:A,"&lt;="&amp;B35,'Spending Log'!C:C,"Eating Out")</f>
        <v>0</v>
      </c>
      <c r="O35" s="14" t="n">
        <f aca="false">SUMIFS('Spending Log'!D:D,'Spending Log'!A:A,"&gt;="&amp;A35,'Spending Log'!A:A,"&lt;="&amp;B35,'Spending Log'!C:C,"Other")</f>
        <v>0</v>
      </c>
      <c r="P35" s="14" t="n">
        <f aca="false">SUM(L35:O35)</f>
        <v>0</v>
      </c>
    </row>
    <row r="36" customFormat="false" ht="15" hidden="false" customHeight="true" outlineLevel="0" collapsed="false">
      <c r="A36" s="12" t="n">
        <f aca="false">A35+7</f>
        <v>217</v>
      </c>
      <c r="B36" s="12" t="n">
        <f aca="false">A36+6</f>
        <v>223</v>
      </c>
      <c r="C36" s="11" t="n">
        <f aca="false">SUMIFS('Daily Summary'!B:B,'Daily Summary'!A:A,"&gt;="&amp;A36,'Daily Summary'!A:A,"&lt;="&amp;B36)</f>
        <v>0</v>
      </c>
      <c r="D36" s="13" t="n">
        <f aca="false">C36/7</f>
        <v>0</v>
      </c>
      <c r="E36" s="11" t="n">
        <f aca="false">SUMIFS('Daily Summary'!C:C,'Daily Summary'!A:A,"&gt;="&amp;A36,'Daily Summary'!A:A,"&lt;="&amp;B36)</f>
        <v>0</v>
      </c>
      <c r="F36" s="13" t="n">
        <f aca="false">E36/7</f>
        <v>0</v>
      </c>
      <c r="G36" s="11" t="n">
        <f aca="false">SUMIFS('Daily Summary'!D:D,'Daily Summary'!A:A,"&gt;="&amp;A36,'Daily Summary'!A:A,"&lt;="&amp;B36)</f>
        <v>0</v>
      </c>
      <c r="H36" s="13" t="n">
        <f aca="false">G36/7</f>
        <v>0</v>
      </c>
      <c r="I36" s="11" t="n">
        <f aca="false">SUMIFS('Daily Summary'!E:E,'Daily Summary'!A:A,"&gt;="&amp;A36,'Daily Summary'!A:A,"&lt;="&amp;B36)</f>
        <v>0</v>
      </c>
      <c r="J36" s="13" t="n">
        <f aca="false">I36/7</f>
        <v>0</v>
      </c>
      <c r="K36" s="11" t="n">
        <f aca="false">SUMIFS('Daily Summary'!F:F,'Daily Summary'!A:A,"&gt;="&amp;A36,'Daily Summary'!A:A,"&lt;="&amp;B36)</f>
        <v>0</v>
      </c>
      <c r="L36" s="14" t="n">
        <f aca="false">SUMIFS('Spending Log'!D:D,'Spending Log'!A:A,"&gt;="&amp;A36,'Spending Log'!A:A,"&lt;="&amp;B36,'Spending Log'!C:C,"Groceries")</f>
        <v>0</v>
      </c>
      <c r="M36" s="14" t="n">
        <f aca="false">SUMIFS('Spending Log'!D:D,'Spending Log'!A:A,"&gt;="&amp;A36,'Spending Log'!A:A,"&lt;="&amp;B36,'Spending Log'!C:C,"Alcohol/Beer")</f>
        <v>0</v>
      </c>
      <c r="N36" s="14" t="n">
        <f aca="false">SUMIFS('Spending Log'!D:D,'Spending Log'!A:A,"&gt;="&amp;A36,'Spending Log'!A:A,"&lt;="&amp;B36,'Spending Log'!C:C,"Eating Out")</f>
        <v>0</v>
      </c>
      <c r="O36" s="14" t="n">
        <f aca="false">SUMIFS('Spending Log'!D:D,'Spending Log'!A:A,"&gt;="&amp;A36,'Spending Log'!A:A,"&lt;="&amp;B36,'Spending Log'!C:C,"Other")</f>
        <v>0</v>
      </c>
      <c r="P36" s="14" t="n">
        <f aca="false">SUM(L36:O36)</f>
        <v>0</v>
      </c>
    </row>
    <row r="37" customFormat="false" ht="15" hidden="false" customHeight="true" outlineLevel="0" collapsed="false">
      <c r="A37" s="12" t="n">
        <f aca="false">A36+7</f>
        <v>224</v>
      </c>
      <c r="B37" s="12" t="n">
        <f aca="false">A37+6</f>
        <v>230</v>
      </c>
      <c r="C37" s="11" t="n">
        <f aca="false">SUMIFS('Daily Summary'!B:B,'Daily Summary'!A:A,"&gt;="&amp;A37,'Daily Summary'!A:A,"&lt;="&amp;B37)</f>
        <v>0</v>
      </c>
      <c r="D37" s="13" t="n">
        <f aca="false">C37/7</f>
        <v>0</v>
      </c>
      <c r="E37" s="11" t="n">
        <f aca="false">SUMIFS('Daily Summary'!C:C,'Daily Summary'!A:A,"&gt;="&amp;A37,'Daily Summary'!A:A,"&lt;="&amp;B37)</f>
        <v>0</v>
      </c>
      <c r="F37" s="13" t="n">
        <f aca="false">E37/7</f>
        <v>0</v>
      </c>
      <c r="G37" s="11" t="n">
        <f aca="false">SUMIFS('Daily Summary'!D:D,'Daily Summary'!A:A,"&gt;="&amp;A37,'Daily Summary'!A:A,"&lt;="&amp;B37)</f>
        <v>0</v>
      </c>
      <c r="H37" s="13" t="n">
        <f aca="false">G37/7</f>
        <v>0</v>
      </c>
      <c r="I37" s="11" t="n">
        <f aca="false">SUMIFS('Daily Summary'!E:E,'Daily Summary'!A:A,"&gt;="&amp;A37,'Daily Summary'!A:A,"&lt;="&amp;B37)</f>
        <v>0</v>
      </c>
      <c r="J37" s="13" t="n">
        <f aca="false">I37/7</f>
        <v>0</v>
      </c>
      <c r="K37" s="11" t="n">
        <f aca="false">SUMIFS('Daily Summary'!F:F,'Daily Summary'!A:A,"&gt;="&amp;A37,'Daily Summary'!A:A,"&lt;="&amp;B37)</f>
        <v>0</v>
      </c>
      <c r="L37" s="14" t="n">
        <f aca="false">SUMIFS('Spending Log'!D:D,'Spending Log'!A:A,"&gt;="&amp;A37,'Spending Log'!A:A,"&lt;="&amp;B37,'Spending Log'!C:C,"Groceries")</f>
        <v>0</v>
      </c>
      <c r="M37" s="14" t="n">
        <f aca="false">SUMIFS('Spending Log'!D:D,'Spending Log'!A:A,"&gt;="&amp;A37,'Spending Log'!A:A,"&lt;="&amp;B37,'Spending Log'!C:C,"Alcohol/Beer")</f>
        <v>0</v>
      </c>
      <c r="N37" s="14" t="n">
        <f aca="false">SUMIFS('Spending Log'!D:D,'Spending Log'!A:A,"&gt;="&amp;A37,'Spending Log'!A:A,"&lt;="&amp;B37,'Spending Log'!C:C,"Eating Out")</f>
        <v>0</v>
      </c>
      <c r="O37" s="14" t="n">
        <f aca="false">SUMIFS('Spending Log'!D:D,'Spending Log'!A:A,"&gt;="&amp;A37,'Spending Log'!A:A,"&lt;="&amp;B37,'Spending Log'!C:C,"Other")</f>
        <v>0</v>
      </c>
      <c r="P37" s="14" t="n">
        <f aca="false">SUM(L37:O37)</f>
        <v>0</v>
      </c>
    </row>
    <row r="38" customFormat="false" ht="15" hidden="false" customHeight="true" outlineLevel="0" collapsed="false">
      <c r="A38" s="12" t="n">
        <f aca="false">A37+7</f>
        <v>231</v>
      </c>
      <c r="B38" s="12" t="n">
        <f aca="false">A38+6</f>
        <v>237</v>
      </c>
      <c r="C38" s="11" t="n">
        <f aca="false">SUMIFS('Daily Summary'!B:B,'Daily Summary'!A:A,"&gt;="&amp;A38,'Daily Summary'!A:A,"&lt;="&amp;B38)</f>
        <v>0</v>
      </c>
      <c r="D38" s="13" t="n">
        <f aca="false">C38/7</f>
        <v>0</v>
      </c>
      <c r="E38" s="11" t="n">
        <f aca="false">SUMIFS('Daily Summary'!C:C,'Daily Summary'!A:A,"&gt;="&amp;A38,'Daily Summary'!A:A,"&lt;="&amp;B38)</f>
        <v>0</v>
      </c>
      <c r="F38" s="13" t="n">
        <f aca="false">E38/7</f>
        <v>0</v>
      </c>
      <c r="G38" s="11" t="n">
        <f aca="false">SUMIFS('Daily Summary'!D:D,'Daily Summary'!A:A,"&gt;="&amp;A38,'Daily Summary'!A:A,"&lt;="&amp;B38)</f>
        <v>0</v>
      </c>
      <c r="H38" s="13" t="n">
        <f aca="false">G38/7</f>
        <v>0</v>
      </c>
      <c r="I38" s="11" t="n">
        <f aca="false">SUMIFS('Daily Summary'!E:E,'Daily Summary'!A:A,"&gt;="&amp;A38,'Daily Summary'!A:A,"&lt;="&amp;B38)</f>
        <v>0</v>
      </c>
      <c r="J38" s="13" t="n">
        <f aca="false">I38/7</f>
        <v>0</v>
      </c>
      <c r="K38" s="11" t="n">
        <f aca="false">SUMIFS('Daily Summary'!F:F,'Daily Summary'!A:A,"&gt;="&amp;A38,'Daily Summary'!A:A,"&lt;="&amp;B38)</f>
        <v>0</v>
      </c>
      <c r="L38" s="14" t="n">
        <f aca="false">SUMIFS('Spending Log'!D:D,'Spending Log'!A:A,"&gt;="&amp;A38,'Spending Log'!A:A,"&lt;="&amp;B38,'Spending Log'!C:C,"Groceries")</f>
        <v>0</v>
      </c>
      <c r="M38" s="14" t="n">
        <f aca="false">SUMIFS('Spending Log'!D:D,'Spending Log'!A:A,"&gt;="&amp;A38,'Spending Log'!A:A,"&lt;="&amp;B38,'Spending Log'!C:C,"Alcohol/Beer")</f>
        <v>0</v>
      </c>
      <c r="N38" s="14" t="n">
        <f aca="false">SUMIFS('Spending Log'!D:D,'Spending Log'!A:A,"&gt;="&amp;A38,'Spending Log'!A:A,"&lt;="&amp;B38,'Spending Log'!C:C,"Eating Out")</f>
        <v>0</v>
      </c>
      <c r="O38" s="14" t="n">
        <f aca="false">SUMIFS('Spending Log'!D:D,'Spending Log'!A:A,"&gt;="&amp;A38,'Spending Log'!A:A,"&lt;="&amp;B38,'Spending Log'!C:C,"Other")</f>
        <v>0</v>
      </c>
      <c r="P38" s="14" t="n">
        <f aca="false">SUM(L38:O38)</f>
        <v>0</v>
      </c>
    </row>
    <row r="39" customFormat="false" ht="15" hidden="false" customHeight="true" outlineLevel="0" collapsed="false">
      <c r="A39" s="12" t="n">
        <f aca="false">A38+7</f>
        <v>238</v>
      </c>
      <c r="B39" s="12" t="n">
        <f aca="false">A39+6</f>
        <v>244</v>
      </c>
      <c r="C39" s="11" t="n">
        <f aca="false">SUMIFS('Daily Summary'!B:B,'Daily Summary'!A:A,"&gt;="&amp;A39,'Daily Summary'!A:A,"&lt;="&amp;B39)</f>
        <v>0</v>
      </c>
      <c r="D39" s="13" t="n">
        <f aca="false">C39/7</f>
        <v>0</v>
      </c>
      <c r="E39" s="11" t="n">
        <f aca="false">SUMIFS('Daily Summary'!C:C,'Daily Summary'!A:A,"&gt;="&amp;A39,'Daily Summary'!A:A,"&lt;="&amp;B39)</f>
        <v>0</v>
      </c>
      <c r="F39" s="13" t="n">
        <f aca="false">E39/7</f>
        <v>0</v>
      </c>
      <c r="G39" s="11" t="n">
        <f aca="false">SUMIFS('Daily Summary'!D:D,'Daily Summary'!A:A,"&gt;="&amp;A39,'Daily Summary'!A:A,"&lt;="&amp;B39)</f>
        <v>0</v>
      </c>
      <c r="H39" s="13" t="n">
        <f aca="false">G39/7</f>
        <v>0</v>
      </c>
      <c r="I39" s="11" t="n">
        <f aca="false">SUMIFS('Daily Summary'!E:E,'Daily Summary'!A:A,"&gt;="&amp;A39,'Daily Summary'!A:A,"&lt;="&amp;B39)</f>
        <v>0</v>
      </c>
      <c r="J39" s="13" t="n">
        <f aca="false">I39/7</f>
        <v>0</v>
      </c>
      <c r="K39" s="11" t="n">
        <f aca="false">SUMIFS('Daily Summary'!F:F,'Daily Summary'!A:A,"&gt;="&amp;A39,'Daily Summary'!A:A,"&lt;="&amp;B39)</f>
        <v>0</v>
      </c>
      <c r="L39" s="14" t="n">
        <f aca="false">SUMIFS('Spending Log'!D:D,'Spending Log'!A:A,"&gt;="&amp;A39,'Spending Log'!A:A,"&lt;="&amp;B39,'Spending Log'!C:C,"Groceries")</f>
        <v>0</v>
      </c>
      <c r="M39" s="14" t="n">
        <f aca="false">SUMIFS('Spending Log'!D:D,'Spending Log'!A:A,"&gt;="&amp;A39,'Spending Log'!A:A,"&lt;="&amp;B39,'Spending Log'!C:C,"Alcohol/Beer")</f>
        <v>0</v>
      </c>
      <c r="N39" s="14" t="n">
        <f aca="false">SUMIFS('Spending Log'!D:D,'Spending Log'!A:A,"&gt;="&amp;A39,'Spending Log'!A:A,"&lt;="&amp;B39,'Spending Log'!C:C,"Eating Out")</f>
        <v>0</v>
      </c>
      <c r="O39" s="14" t="n">
        <f aca="false">SUMIFS('Spending Log'!D:D,'Spending Log'!A:A,"&gt;="&amp;A39,'Spending Log'!A:A,"&lt;="&amp;B39,'Spending Log'!C:C,"Other")</f>
        <v>0</v>
      </c>
      <c r="P39" s="14" t="n">
        <f aca="false">SUM(L39:O39)</f>
        <v>0</v>
      </c>
    </row>
    <row r="40" customFormat="false" ht="15" hidden="false" customHeight="true" outlineLevel="0" collapsed="false">
      <c r="A40" s="12" t="n">
        <f aca="false">A39+7</f>
        <v>245</v>
      </c>
      <c r="B40" s="12" t="n">
        <f aca="false">A40+6</f>
        <v>251</v>
      </c>
      <c r="C40" s="11" t="n">
        <f aca="false">SUMIFS('Daily Summary'!B:B,'Daily Summary'!A:A,"&gt;="&amp;A40,'Daily Summary'!A:A,"&lt;="&amp;B40)</f>
        <v>0</v>
      </c>
      <c r="D40" s="13" t="n">
        <f aca="false">C40/7</f>
        <v>0</v>
      </c>
      <c r="E40" s="11" t="n">
        <f aca="false">SUMIFS('Daily Summary'!C:C,'Daily Summary'!A:A,"&gt;="&amp;A40,'Daily Summary'!A:A,"&lt;="&amp;B40)</f>
        <v>0</v>
      </c>
      <c r="F40" s="13" t="n">
        <f aca="false">E40/7</f>
        <v>0</v>
      </c>
      <c r="G40" s="11" t="n">
        <f aca="false">SUMIFS('Daily Summary'!D:D,'Daily Summary'!A:A,"&gt;="&amp;A40,'Daily Summary'!A:A,"&lt;="&amp;B40)</f>
        <v>0</v>
      </c>
      <c r="H40" s="13" t="n">
        <f aca="false">G40/7</f>
        <v>0</v>
      </c>
      <c r="I40" s="11" t="n">
        <f aca="false">SUMIFS('Daily Summary'!E:E,'Daily Summary'!A:A,"&gt;="&amp;A40,'Daily Summary'!A:A,"&lt;="&amp;B40)</f>
        <v>0</v>
      </c>
      <c r="J40" s="13" t="n">
        <f aca="false">I40/7</f>
        <v>0</v>
      </c>
      <c r="K40" s="11" t="n">
        <f aca="false">SUMIFS('Daily Summary'!F:F,'Daily Summary'!A:A,"&gt;="&amp;A40,'Daily Summary'!A:A,"&lt;="&amp;B40)</f>
        <v>0</v>
      </c>
      <c r="L40" s="14" t="n">
        <f aca="false">SUMIFS('Spending Log'!D:D,'Spending Log'!A:A,"&gt;="&amp;A40,'Spending Log'!A:A,"&lt;="&amp;B40,'Spending Log'!C:C,"Groceries")</f>
        <v>0</v>
      </c>
      <c r="M40" s="14" t="n">
        <f aca="false">SUMIFS('Spending Log'!D:D,'Spending Log'!A:A,"&gt;="&amp;A40,'Spending Log'!A:A,"&lt;="&amp;B40,'Spending Log'!C:C,"Alcohol/Beer")</f>
        <v>0</v>
      </c>
      <c r="N40" s="14" t="n">
        <f aca="false">SUMIFS('Spending Log'!D:D,'Spending Log'!A:A,"&gt;="&amp;A40,'Spending Log'!A:A,"&lt;="&amp;B40,'Spending Log'!C:C,"Eating Out")</f>
        <v>0</v>
      </c>
      <c r="O40" s="14" t="n">
        <f aca="false">SUMIFS('Spending Log'!D:D,'Spending Log'!A:A,"&gt;="&amp;A40,'Spending Log'!A:A,"&lt;="&amp;B40,'Spending Log'!C:C,"Other")</f>
        <v>0</v>
      </c>
      <c r="P40" s="14" t="n">
        <f aca="false">SUM(L40:O40)</f>
        <v>0</v>
      </c>
    </row>
    <row r="41" customFormat="false" ht="15" hidden="false" customHeight="true" outlineLevel="0" collapsed="false">
      <c r="A41" s="12" t="n">
        <f aca="false">A40+7</f>
        <v>252</v>
      </c>
      <c r="B41" s="12" t="n">
        <f aca="false">A41+6</f>
        <v>258</v>
      </c>
      <c r="C41" s="11" t="n">
        <f aca="false">SUMIFS('Daily Summary'!B:B,'Daily Summary'!A:A,"&gt;="&amp;A41,'Daily Summary'!A:A,"&lt;="&amp;B41)</f>
        <v>0</v>
      </c>
      <c r="D41" s="13" t="n">
        <f aca="false">C41/7</f>
        <v>0</v>
      </c>
      <c r="E41" s="11" t="n">
        <f aca="false">SUMIFS('Daily Summary'!C:C,'Daily Summary'!A:A,"&gt;="&amp;A41,'Daily Summary'!A:A,"&lt;="&amp;B41)</f>
        <v>0</v>
      </c>
      <c r="F41" s="13" t="n">
        <f aca="false">E41/7</f>
        <v>0</v>
      </c>
      <c r="G41" s="11" t="n">
        <f aca="false">SUMIFS('Daily Summary'!D:D,'Daily Summary'!A:A,"&gt;="&amp;A41,'Daily Summary'!A:A,"&lt;="&amp;B41)</f>
        <v>0</v>
      </c>
      <c r="H41" s="13" t="n">
        <f aca="false">G41/7</f>
        <v>0</v>
      </c>
      <c r="I41" s="11" t="n">
        <f aca="false">SUMIFS('Daily Summary'!E:E,'Daily Summary'!A:A,"&gt;="&amp;A41,'Daily Summary'!A:A,"&lt;="&amp;B41)</f>
        <v>0</v>
      </c>
      <c r="J41" s="13" t="n">
        <f aca="false">I41/7</f>
        <v>0</v>
      </c>
      <c r="K41" s="11" t="n">
        <f aca="false">SUMIFS('Daily Summary'!F:F,'Daily Summary'!A:A,"&gt;="&amp;A41,'Daily Summary'!A:A,"&lt;="&amp;B41)</f>
        <v>0</v>
      </c>
      <c r="L41" s="14" t="n">
        <f aca="false">SUMIFS('Spending Log'!D:D,'Spending Log'!A:A,"&gt;="&amp;A41,'Spending Log'!A:A,"&lt;="&amp;B41,'Spending Log'!C:C,"Groceries")</f>
        <v>0</v>
      </c>
      <c r="M41" s="14" t="n">
        <f aca="false">SUMIFS('Spending Log'!D:D,'Spending Log'!A:A,"&gt;="&amp;A41,'Spending Log'!A:A,"&lt;="&amp;B41,'Spending Log'!C:C,"Alcohol/Beer")</f>
        <v>0</v>
      </c>
      <c r="N41" s="14" t="n">
        <f aca="false">SUMIFS('Spending Log'!D:D,'Spending Log'!A:A,"&gt;="&amp;A41,'Spending Log'!A:A,"&lt;="&amp;B41,'Spending Log'!C:C,"Eating Out")</f>
        <v>0</v>
      </c>
      <c r="O41" s="14" t="n">
        <f aca="false">SUMIFS('Spending Log'!D:D,'Spending Log'!A:A,"&gt;="&amp;A41,'Spending Log'!A:A,"&lt;="&amp;B41,'Spending Log'!C:C,"Other")</f>
        <v>0</v>
      </c>
      <c r="P41" s="14" t="n">
        <f aca="false">SUM(L41:O41)</f>
        <v>0</v>
      </c>
    </row>
    <row r="42" customFormat="false" ht="15" hidden="false" customHeight="true" outlineLevel="0" collapsed="false">
      <c r="A42" s="12" t="n">
        <f aca="false">A41+7</f>
        <v>259</v>
      </c>
      <c r="B42" s="12" t="n">
        <f aca="false">A42+6</f>
        <v>265</v>
      </c>
      <c r="C42" s="11" t="n">
        <f aca="false">SUMIFS('Daily Summary'!B:B,'Daily Summary'!A:A,"&gt;="&amp;A42,'Daily Summary'!A:A,"&lt;="&amp;B42)</f>
        <v>0</v>
      </c>
      <c r="D42" s="13" t="n">
        <f aca="false">C42/7</f>
        <v>0</v>
      </c>
      <c r="E42" s="11" t="n">
        <f aca="false">SUMIFS('Daily Summary'!C:C,'Daily Summary'!A:A,"&gt;="&amp;A42,'Daily Summary'!A:A,"&lt;="&amp;B42)</f>
        <v>0</v>
      </c>
      <c r="F42" s="13" t="n">
        <f aca="false">E42/7</f>
        <v>0</v>
      </c>
      <c r="G42" s="11" t="n">
        <f aca="false">SUMIFS('Daily Summary'!D:D,'Daily Summary'!A:A,"&gt;="&amp;A42,'Daily Summary'!A:A,"&lt;="&amp;B42)</f>
        <v>0</v>
      </c>
      <c r="H42" s="13" t="n">
        <f aca="false">G42/7</f>
        <v>0</v>
      </c>
      <c r="I42" s="11" t="n">
        <f aca="false">SUMIFS('Daily Summary'!E:E,'Daily Summary'!A:A,"&gt;="&amp;A42,'Daily Summary'!A:A,"&lt;="&amp;B42)</f>
        <v>0</v>
      </c>
      <c r="J42" s="13" t="n">
        <f aca="false">I42/7</f>
        <v>0</v>
      </c>
      <c r="K42" s="11" t="n">
        <f aca="false">SUMIFS('Daily Summary'!F:F,'Daily Summary'!A:A,"&gt;="&amp;A42,'Daily Summary'!A:A,"&lt;="&amp;B42)</f>
        <v>0</v>
      </c>
      <c r="L42" s="14" t="n">
        <f aca="false">SUMIFS('Spending Log'!D:D,'Spending Log'!A:A,"&gt;="&amp;A42,'Spending Log'!A:A,"&lt;="&amp;B42,'Spending Log'!C:C,"Groceries")</f>
        <v>0</v>
      </c>
      <c r="M42" s="14" t="n">
        <f aca="false">SUMIFS('Spending Log'!D:D,'Spending Log'!A:A,"&gt;="&amp;A42,'Spending Log'!A:A,"&lt;="&amp;B42,'Spending Log'!C:C,"Alcohol/Beer")</f>
        <v>0</v>
      </c>
      <c r="N42" s="14" t="n">
        <f aca="false">SUMIFS('Spending Log'!D:D,'Spending Log'!A:A,"&gt;="&amp;A42,'Spending Log'!A:A,"&lt;="&amp;B42,'Spending Log'!C:C,"Eating Out")</f>
        <v>0</v>
      </c>
      <c r="O42" s="14" t="n">
        <f aca="false">SUMIFS('Spending Log'!D:D,'Spending Log'!A:A,"&gt;="&amp;A42,'Spending Log'!A:A,"&lt;="&amp;B42,'Spending Log'!C:C,"Other")</f>
        <v>0</v>
      </c>
      <c r="P42" s="14" t="n">
        <f aca="false">SUM(L42:O42)</f>
        <v>0</v>
      </c>
    </row>
    <row r="43" customFormat="false" ht="15" hidden="false" customHeight="true" outlineLevel="0" collapsed="false">
      <c r="A43" s="12" t="n">
        <f aca="false">A42+7</f>
        <v>266</v>
      </c>
      <c r="B43" s="12" t="n">
        <f aca="false">A43+6</f>
        <v>272</v>
      </c>
      <c r="C43" s="11" t="n">
        <f aca="false">SUMIFS('Daily Summary'!B:B,'Daily Summary'!A:A,"&gt;="&amp;A43,'Daily Summary'!A:A,"&lt;="&amp;B43)</f>
        <v>0</v>
      </c>
      <c r="D43" s="13" t="n">
        <f aca="false">C43/7</f>
        <v>0</v>
      </c>
      <c r="E43" s="11" t="n">
        <f aca="false">SUMIFS('Daily Summary'!C:C,'Daily Summary'!A:A,"&gt;="&amp;A43,'Daily Summary'!A:A,"&lt;="&amp;B43)</f>
        <v>0</v>
      </c>
      <c r="F43" s="13" t="n">
        <f aca="false">E43/7</f>
        <v>0</v>
      </c>
      <c r="G43" s="11" t="n">
        <f aca="false">SUMIFS('Daily Summary'!D:D,'Daily Summary'!A:A,"&gt;="&amp;A43,'Daily Summary'!A:A,"&lt;="&amp;B43)</f>
        <v>0</v>
      </c>
      <c r="H43" s="13" t="n">
        <f aca="false">G43/7</f>
        <v>0</v>
      </c>
      <c r="I43" s="11" t="n">
        <f aca="false">SUMIFS('Daily Summary'!E:E,'Daily Summary'!A:A,"&gt;="&amp;A43,'Daily Summary'!A:A,"&lt;="&amp;B43)</f>
        <v>0</v>
      </c>
      <c r="J43" s="13" t="n">
        <f aca="false">I43/7</f>
        <v>0</v>
      </c>
      <c r="K43" s="11" t="n">
        <f aca="false">SUMIFS('Daily Summary'!F:F,'Daily Summary'!A:A,"&gt;="&amp;A43,'Daily Summary'!A:A,"&lt;="&amp;B43)</f>
        <v>0</v>
      </c>
      <c r="L43" s="14" t="n">
        <f aca="false">SUMIFS('Spending Log'!D:D,'Spending Log'!A:A,"&gt;="&amp;A43,'Spending Log'!A:A,"&lt;="&amp;B43,'Spending Log'!C:C,"Groceries")</f>
        <v>0</v>
      </c>
      <c r="M43" s="14" t="n">
        <f aca="false">SUMIFS('Spending Log'!D:D,'Spending Log'!A:A,"&gt;="&amp;A43,'Spending Log'!A:A,"&lt;="&amp;B43,'Spending Log'!C:C,"Alcohol/Beer")</f>
        <v>0</v>
      </c>
      <c r="N43" s="14" t="n">
        <f aca="false">SUMIFS('Spending Log'!D:D,'Spending Log'!A:A,"&gt;="&amp;A43,'Spending Log'!A:A,"&lt;="&amp;B43,'Spending Log'!C:C,"Eating Out")</f>
        <v>0</v>
      </c>
      <c r="O43" s="14" t="n">
        <f aca="false">SUMIFS('Spending Log'!D:D,'Spending Log'!A:A,"&gt;="&amp;A43,'Spending Log'!A:A,"&lt;="&amp;B43,'Spending Log'!C:C,"Other")</f>
        <v>0</v>
      </c>
      <c r="P43" s="14" t="n">
        <f aca="false">SUM(L43:O43)</f>
        <v>0</v>
      </c>
    </row>
    <row r="44" customFormat="false" ht="15" hidden="false" customHeight="true" outlineLevel="0" collapsed="false">
      <c r="A44" s="12" t="n">
        <f aca="false">A43+7</f>
        <v>273</v>
      </c>
      <c r="B44" s="12" t="n">
        <f aca="false">A44+6</f>
        <v>279</v>
      </c>
      <c r="C44" s="11" t="n">
        <f aca="false">SUMIFS('Daily Summary'!B:B,'Daily Summary'!A:A,"&gt;="&amp;A44,'Daily Summary'!A:A,"&lt;="&amp;B44)</f>
        <v>0</v>
      </c>
      <c r="D44" s="13" t="n">
        <f aca="false">C44/7</f>
        <v>0</v>
      </c>
      <c r="E44" s="11" t="n">
        <f aca="false">SUMIFS('Daily Summary'!C:C,'Daily Summary'!A:A,"&gt;="&amp;A44,'Daily Summary'!A:A,"&lt;="&amp;B44)</f>
        <v>0</v>
      </c>
      <c r="F44" s="13" t="n">
        <f aca="false">E44/7</f>
        <v>0</v>
      </c>
      <c r="G44" s="11" t="n">
        <f aca="false">SUMIFS('Daily Summary'!D:D,'Daily Summary'!A:A,"&gt;="&amp;A44,'Daily Summary'!A:A,"&lt;="&amp;B44)</f>
        <v>0</v>
      </c>
      <c r="H44" s="13" t="n">
        <f aca="false">G44/7</f>
        <v>0</v>
      </c>
      <c r="I44" s="11" t="n">
        <f aca="false">SUMIFS('Daily Summary'!E:E,'Daily Summary'!A:A,"&gt;="&amp;A44,'Daily Summary'!A:A,"&lt;="&amp;B44)</f>
        <v>0</v>
      </c>
      <c r="J44" s="13" t="n">
        <f aca="false">I44/7</f>
        <v>0</v>
      </c>
      <c r="K44" s="11" t="n">
        <f aca="false">SUMIFS('Daily Summary'!F:F,'Daily Summary'!A:A,"&gt;="&amp;A44,'Daily Summary'!A:A,"&lt;="&amp;B44)</f>
        <v>0</v>
      </c>
      <c r="L44" s="14" t="n">
        <f aca="false">SUMIFS('Spending Log'!D:D,'Spending Log'!A:A,"&gt;="&amp;A44,'Spending Log'!A:A,"&lt;="&amp;B44,'Spending Log'!C:C,"Groceries")</f>
        <v>0</v>
      </c>
      <c r="M44" s="14" t="n">
        <f aca="false">SUMIFS('Spending Log'!D:D,'Spending Log'!A:A,"&gt;="&amp;A44,'Spending Log'!A:A,"&lt;="&amp;B44,'Spending Log'!C:C,"Alcohol/Beer")</f>
        <v>0</v>
      </c>
      <c r="N44" s="14" t="n">
        <f aca="false">SUMIFS('Spending Log'!D:D,'Spending Log'!A:A,"&gt;="&amp;A44,'Spending Log'!A:A,"&lt;="&amp;B44,'Spending Log'!C:C,"Eating Out")</f>
        <v>0</v>
      </c>
      <c r="O44" s="14" t="n">
        <f aca="false">SUMIFS('Spending Log'!D:D,'Spending Log'!A:A,"&gt;="&amp;A44,'Spending Log'!A:A,"&lt;="&amp;B44,'Spending Log'!C:C,"Other")</f>
        <v>0</v>
      </c>
      <c r="P44" s="14" t="n">
        <f aca="false">SUM(L44:O44)</f>
        <v>0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3" style="1" width="10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1" min="11" style="1" width="12"/>
    <col collapsed="false" customWidth="true" hidden="false" outlineLevel="0" max="12" min="12" style="1" width="11"/>
    <col collapsed="false" customWidth="true" hidden="false" outlineLevel="0" max="13" min="13" style="1" width="13"/>
    <col collapsed="false" customWidth="true" hidden="false" outlineLevel="0" max="14" min="14" style="1" width="12"/>
    <col collapsed="false" customWidth="true" hidden="false" outlineLevel="0" max="15" min="15" style="1" width="10"/>
    <col collapsed="false" customWidth="true" hidden="false" outlineLevel="0" max="16" min="16" style="1" width="11"/>
  </cols>
  <sheetData>
    <row r="1" customFormat="false" ht="17.25" hidden="false" customHeight="true" outlineLevel="0" collapsed="false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15" t="s">
        <v>71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customFormat="false" ht="15" hidden="false" customHeight="true" outlineLevel="0" collapsed="false">
      <c r="A4" s="16" t="s">
        <v>72</v>
      </c>
      <c r="B4" s="16" t="s">
        <v>73</v>
      </c>
      <c r="C4" s="16" t="s">
        <v>56</v>
      </c>
      <c r="D4" s="16" t="s">
        <v>57</v>
      </c>
      <c r="E4" s="16" t="s">
        <v>58</v>
      </c>
      <c r="F4" s="16" t="s">
        <v>59</v>
      </c>
      <c r="G4" s="16" t="s">
        <v>60</v>
      </c>
      <c r="H4" s="16" t="s">
        <v>61</v>
      </c>
      <c r="I4" s="16" t="s">
        <v>62</v>
      </c>
      <c r="J4" s="16" t="s">
        <v>63</v>
      </c>
      <c r="K4" s="16" t="s">
        <v>64</v>
      </c>
      <c r="L4" s="16" t="s">
        <v>65</v>
      </c>
      <c r="M4" s="16" t="s">
        <v>66</v>
      </c>
      <c r="N4" s="16" t="s">
        <v>67</v>
      </c>
      <c r="O4" s="16" t="s">
        <v>68</v>
      </c>
      <c r="P4" s="16" t="s">
        <v>69</v>
      </c>
    </row>
    <row r="5" customFormat="false" ht="15" hidden="false" customHeight="true" outlineLevel="0" collapsed="false">
      <c r="A5" s="10"/>
      <c r="B5" s="12" t="n">
        <f aca="false">EOMONTH(A5,0)</f>
        <v>1</v>
      </c>
      <c r="C5" s="17" t="n">
        <f aca="false">SUMIFS('Daily Summary'!B:B,'Daily Summary'!A:A,"&gt;="&amp;A5,'Daily Summary'!A:A,"&lt;="&amp;B5)</f>
        <v>0</v>
      </c>
      <c r="D5" s="17" t="n">
        <f aca="false">C5/(B5-A5+1)</f>
        <v>0</v>
      </c>
      <c r="E5" s="17" t="n">
        <f aca="false">SUMIFS('Daily Summary'!C:C,'Daily Summary'!A:A,"&gt;="&amp;A5,'Daily Summary'!A:A,"&lt;="&amp;B5)</f>
        <v>0</v>
      </c>
      <c r="F5" s="17" t="n">
        <f aca="false">E5/(B5-A5+1)</f>
        <v>0</v>
      </c>
      <c r="G5" s="17" t="n">
        <f aca="false">SUMIFS('Daily Summary'!D:D,'Daily Summary'!A:A,"&gt;="&amp;A5,'Daily Summary'!A:A,"&lt;="&amp;B5)</f>
        <v>0</v>
      </c>
      <c r="H5" s="17" t="n">
        <f aca="false">G5/(B5-A5+1)</f>
        <v>0</v>
      </c>
      <c r="I5" s="17" t="n">
        <f aca="false">SUMIFS('Daily Summary'!E:E,'Daily Summary'!A:A,"&gt;="&amp;A5,'Daily Summary'!A:A,"&lt;="&amp;B5)</f>
        <v>0</v>
      </c>
      <c r="J5" s="17" t="n">
        <f aca="false">I5/(B5-A5+1)</f>
        <v>0</v>
      </c>
      <c r="K5" s="17" t="n">
        <f aca="false">SUMIFS('Daily Summary'!F:F,'Daily Summary'!A:A,"&gt;="&amp;A5,'Daily Summary'!A:A,"&lt;="&amp;B5)</f>
        <v>0</v>
      </c>
      <c r="L5" s="17" t="n">
        <f aca="false">SUMIFS('Spending Log'!D:D,'Spending Log'!A:A,"&gt;="&amp;A5,'Spending Log'!A:A,"&lt;="&amp;B5,'Spending Log'!C:C,"Groceries")</f>
        <v>0</v>
      </c>
      <c r="M5" s="17" t="n">
        <f aca="false">SUMIFS('Spending Log'!D:D,'Spending Log'!A:A,"&gt;="&amp;A5,'Spending Log'!A:A,"&lt;="&amp;B5,'Spending Log'!C:C,"Alcohol/Beer")</f>
        <v>0</v>
      </c>
      <c r="N5" s="17" t="n">
        <f aca="false">SUMIFS('Spending Log'!D:D,'Spending Log'!A:A,"&gt;="&amp;A5,'Spending Log'!A:A,"&lt;="&amp;B5,'Spending Log'!C:C,"Eating Out")</f>
        <v>0</v>
      </c>
      <c r="O5" s="17" t="n">
        <f aca="false">SUMIFS('Spending Log'!D:D,'Spending Log'!A:A,"&gt;="&amp;A5,'Spending Log'!A:A,"&lt;="&amp;B5,'Spending Log'!C:C,"Other")</f>
        <v>0</v>
      </c>
      <c r="P5" s="17" t="n">
        <f aca="false">SUM(L5:O5)</f>
        <v>0</v>
      </c>
    </row>
    <row r="6" customFormat="false" ht="15" hidden="false" customHeight="true" outlineLevel="0" collapsed="false">
      <c r="A6" s="12" t="n">
        <f aca="false">EDATE(A5,1)</f>
        <v>31</v>
      </c>
      <c r="B6" s="12" t="n">
        <f aca="false">EOMONTH(A6,0)</f>
        <v>32</v>
      </c>
      <c r="C6" s="17" t="n">
        <f aca="false">SUMIFS('Daily Summary'!B:B,'Daily Summary'!A:A,"&gt;="&amp;A6,'Daily Summary'!A:A,"&lt;="&amp;B6)</f>
        <v>0</v>
      </c>
      <c r="D6" s="17" t="n">
        <f aca="false">C6/(B6-A6+1)</f>
        <v>0</v>
      </c>
      <c r="E6" s="17" t="n">
        <f aca="false">SUMIFS('Daily Summary'!C:C,'Daily Summary'!A:A,"&gt;="&amp;A6,'Daily Summary'!A:A,"&lt;="&amp;B6)</f>
        <v>0</v>
      </c>
      <c r="F6" s="17" t="n">
        <f aca="false">E6/(B6-A6+1)</f>
        <v>0</v>
      </c>
      <c r="G6" s="17" t="n">
        <f aca="false">SUMIFS('Daily Summary'!D:D,'Daily Summary'!A:A,"&gt;="&amp;A6,'Daily Summary'!A:A,"&lt;="&amp;B6)</f>
        <v>0</v>
      </c>
      <c r="H6" s="17" t="n">
        <f aca="false">G6/(B6-A6+1)</f>
        <v>0</v>
      </c>
      <c r="I6" s="17" t="n">
        <f aca="false">SUMIFS('Daily Summary'!E:E,'Daily Summary'!A:A,"&gt;="&amp;A6,'Daily Summary'!A:A,"&lt;="&amp;B6)</f>
        <v>0</v>
      </c>
      <c r="J6" s="17" t="n">
        <f aca="false">I6/(B6-A6+1)</f>
        <v>0</v>
      </c>
      <c r="K6" s="17" t="n">
        <f aca="false">SUMIFS('Daily Summary'!F:F,'Daily Summary'!A:A,"&gt;="&amp;A6,'Daily Summary'!A:A,"&lt;="&amp;B6)</f>
        <v>0</v>
      </c>
      <c r="L6" s="17" t="n">
        <f aca="false">SUMIFS('Spending Log'!D:D,'Spending Log'!A:A,"&gt;="&amp;A6,'Spending Log'!A:A,"&lt;="&amp;B6,'Spending Log'!C:C,"Groceries")</f>
        <v>0</v>
      </c>
      <c r="M6" s="17" t="n">
        <f aca="false">SUMIFS('Spending Log'!D:D,'Spending Log'!A:A,"&gt;="&amp;A6,'Spending Log'!A:A,"&lt;="&amp;B6,'Spending Log'!C:C,"Alcohol/Beer")</f>
        <v>0</v>
      </c>
      <c r="N6" s="17" t="n">
        <f aca="false">SUMIFS('Spending Log'!D:D,'Spending Log'!A:A,"&gt;="&amp;A6,'Spending Log'!A:A,"&lt;="&amp;B6,'Spending Log'!C:C,"Eating Out")</f>
        <v>0</v>
      </c>
      <c r="O6" s="17" t="n">
        <f aca="false">SUMIFS('Spending Log'!D:D,'Spending Log'!A:A,"&gt;="&amp;A6,'Spending Log'!A:A,"&lt;="&amp;B6,'Spending Log'!C:C,"Other")</f>
        <v>0</v>
      </c>
      <c r="P6" s="17" t="n">
        <f aca="false">SUM(L6:O6)</f>
        <v>0</v>
      </c>
    </row>
    <row r="7" customFormat="false" ht="15" hidden="false" customHeight="true" outlineLevel="0" collapsed="false">
      <c r="A7" s="12" t="n">
        <f aca="false">EDATE(A6,1)</f>
        <v>60</v>
      </c>
      <c r="B7" s="12" t="n">
        <f aca="false">EOMONTH(A7,0)</f>
        <v>60</v>
      </c>
      <c r="C7" s="17" t="n">
        <f aca="false">SUMIFS('Daily Summary'!B:B,'Daily Summary'!A:A,"&gt;="&amp;A7,'Daily Summary'!A:A,"&lt;="&amp;B7)</f>
        <v>0</v>
      </c>
      <c r="D7" s="17" t="n">
        <f aca="false">C7/(B7-A7+1)</f>
        <v>0</v>
      </c>
      <c r="E7" s="17" t="n">
        <f aca="false">SUMIFS('Daily Summary'!C:C,'Daily Summary'!A:A,"&gt;="&amp;A7,'Daily Summary'!A:A,"&lt;="&amp;B7)</f>
        <v>0</v>
      </c>
      <c r="F7" s="17" t="n">
        <f aca="false">E7/(B7-A7+1)</f>
        <v>0</v>
      </c>
      <c r="G7" s="17" t="n">
        <f aca="false">SUMIFS('Daily Summary'!D:D,'Daily Summary'!A:A,"&gt;="&amp;A7,'Daily Summary'!A:A,"&lt;="&amp;B7)</f>
        <v>0</v>
      </c>
      <c r="H7" s="17" t="n">
        <f aca="false">G7/(B7-A7+1)</f>
        <v>0</v>
      </c>
      <c r="I7" s="17" t="n">
        <f aca="false">SUMIFS('Daily Summary'!E:E,'Daily Summary'!A:A,"&gt;="&amp;A7,'Daily Summary'!A:A,"&lt;="&amp;B7)</f>
        <v>0</v>
      </c>
      <c r="J7" s="17" t="n">
        <f aca="false">I7/(B7-A7+1)</f>
        <v>0</v>
      </c>
      <c r="K7" s="17" t="n">
        <f aca="false">SUMIFS('Daily Summary'!F:F,'Daily Summary'!A:A,"&gt;="&amp;A7,'Daily Summary'!A:A,"&lt;="&amp;B7)</f>
        <v>0</v>
      </c>
      <c r="L7" s="17" t="n">
        <f aca="false">SUMIFS('Spending Log'!D:D,'Spending Log'!A:A,"&gt;="&amp;A7,'Spending Log'!A:A,"&lt;="&amp;B7,'Spending Log'!C:C,"Groceries")</f>
        <v>0</v>
      </c>
      <c r="M7" s="17" t="n">
        <f aca="false">SUMIFS('Spending Log'!D:D,'Spending Log'!A:A,"&gt;="&amp;A7,'Spending Log'!A:A,"&lt;="&amp;B7,'Spending Log'!C:C,"Alcohol/Beer")</f>
        <v>0</v>
      </c>
      <c r="N7" s="17" t="n">
        <f aca="false">SUMIFS('Spending Log'!D:D,'Spending Log'!A:A,"&gt;="&amp;A7,'Spending Log'!A:A,"&lt;="&amp;B7,'Spending Log'!C:C,"Eating Out")</f>
        <v>0</v>
      </c>
      <c r="O7" s="17" t="n">
        <f aca="false">SUMIFS('Spending Log'!D:D,'Spending Log'!A:A,"&gt;="&amp;A7,'Spending Log'!A:A,"&lt;="&amp;B7,'Spending Log'!C:C,"Other")</f>
        <v>0</v>
      </c>
      <c r="P7" s="17" t="n">
        <f aca="false">SUM(L7:O7)</f>
        <v>0</v>
      </c>
    </row>
    <row r="8" customFormat="false" ht="15" hidden="false" customHeight="true" outlineLevel="0" collapsed="false">
      <c r="A8" s="12" t="n">
        <f aca="false">EDATE(A7,1)</f>
        <v>88</v>
      </c>
      <c r="B8" s="12" t="n">
        <f aca="false">EOMONTH(A8,0)</f>
        <v>91</v>
      </c>
      <c r="C8" s="17" t="n">
        <f aca="false">SUMIFS('Daily Summary'!B:B,'Daily Summary'!A:A,"&gt;="&amp;A8,'Daily Summary'!A:A,"&lt;="&amp;B8)</f>
        <v>0</v>
      </c>
      <c r="D8" s="17" t="n">
        <f aca="false">C8/(B8-A8+1)</f>
        <v>0</v>
      </c>
      <c r="E8" s="17" t="n">
        <f aca="false">SUMIFS('Daily Summary'!C:C,'Daily Summary'!A:A,"&gt;="&amp;A8,'Daily Summary'!A:A,"&lt;="&amp;B8)</f>
        <v>0</v>
      </c>
      <c r="F8" s="17" t="n">
        <f aca="false">E8/(B8-A8+1)</f>
        <v>0</v>
      </c>
      <c r="G8" s="17" t="n">
        <f aca="false">SUMIFS('Daily Summary'!D:D,'Daily Summary'!A:A,"&gt;="&amp;A8,'Daily Summary'!A:A,"&lt;="&amp;B8)</f>
        <v>0</v>
      </c>
      <c r="H8" s="17" t="n">
        <f aca="false">G8/(B8-A8+1)</f>
        <v>0</v>
      </c>
      <c r="I8" s="17" t="n">
        <f aca="false">SUMIFS('Daily Summary'!E:E,'Daily Summary'!A:A,"&gt;="&amp;A8,'Daily Summary'!A:A,"&lt;="&amp;B8)</f>
        <v>0</v>
      </c>
      <c r="J8" s="17" t="n">
        <f aca="false">I8/(B8-A8+1)</f>
        <v>0</v>
      </c>
      <c r="K8" s="17" t="n">
        <f aca="false">SUMIFS('Daily Summary'!F:F,'Daily Summary'!A:A,"&gt;="&amp;A8,'Daily Summary'!A:A,"&lt;="&amp;B8)</f>
        <v>0</v>
      </c>
      <c r="L8" s="17" t="n">
        <f aca="false">SUMIFS('Spending Log'!D:D,'Spending Log'!A:A,"&gt;="&amp;A8,'Spending Log'!A:A,"&lt;="&amp;B8,'Spending Log'!C:C,"Groceries")</f>
        <v>0</v>
      </c>
      <c r="M8" s="17" t="n">
        <f aca="false">SUMIFS('Spending Log'!D:D,'Spending Log'!A:A,"&gt;="&amp;A8,'Spending Log'!A:A,"&lt;="&amp;B8,'Spending Log'!C:C,"Alcohol/Beer")</f>
        <v>0</v>
      </c>
      <c r="N8" s="17" t="n">
        <f aca="false">SUMIFS('Spending Log'!D:D,'Spending Log'!A:A,"&gt;="&amp;A8,'Spending Log'!A:A,"&lt;="&amp;B8,'Spending Log'!C:C,"Eating Out")</f>
        <v>0</v>
      </c>
      <c r="O8" s="17" t="n">
        <f aca="false">SUMIFS('Spending Log'!D:D,'Spending Log'!A:A,"&gt;="&amp;A8,'Spending Log'!A:A,"&lt;="&amp;B8,'Spending Log'!C:C,"Other")</f>
        <v>0</v>
      </c>
      <c r="P8" s="17" t="n">
        <f aca="false">SUM(L8:O8)</f>
        <v>0</v>
      </c>
    </row>
    <row r="9" customFormat="false" ht="15" hidden="false" customHeight="true" outlineLevel="0" collapsed="false">
      <c r="A9" s="12" t="n">
        <f aca="false">EDATE(A8,1)</f>
        <v>119</v>
      </c>
      <c r="B9" s="12" t="n">
        <f aca="false">EOMONTH(A9,0)</f>
        <v>121</v>
      </c>
      <c r="C9" s="17" t="n">
        <f aca="false">SUMIFS('Daily Summary'!B:B,'Daily Summary'!A:A,"&gt;="&amp;A9,'Daily Summary'!A:A,"&lt;="&amp;B9)</f>
        <v>0</v>
      </c>
      <c r="D9" s="17" t="n">
        <f aca="false">C9/(B9-A9+1)</f>
        <v>0</v>
      </c>
      <c r="E9" s="17" t="n">
        <f aca="false">SUMIFS('Daily Summary'!C:C,'Daily Summary'!A:A,"&gt;="&amp;A9,'Daily Summary'!A:A,"&lt;="&amp;B9)</f>
        <v>0</v>
      </c>
      <c r="F9" s="17" t="n">
        <f aca="false">E9/(B9-A9+1)</f>
        <v>0</v>
      </c>
      <c r="G9" s="17" t="n">
        <f aca="false">SUMIFS('Daily Summary'!D:D,'Daily Summary'!A:A,"&gt;="&amp;A9,'Daily Summary'!A:A,"&lt;="&amp;B9)</f>
        <v>0</v>
      </c>
      <c r="H9" s="17" t="n">
        <f aca="false">G9/(B9-A9+1)</f>
        <v>0</v>
      </c>
      <c r="I9" s="17" t="n">
        <f aca="false">SUMIFS('Daily Summary'!E:E,'Daily Summary'!A:A,"&gt;="&amp;A9,'Daily Summary'!A:A,"&lt;="&amp;B9)</f>
        <v>0</v>
      </c>
      <c r="J9" s="17" t="n">
        <f aca="false">I9/(B9-A9+1)</f>
        <v>0</v>
      </c>
      <c r="K9" s="17" t="n">
        <f aca="false">SUMIFS('Daily Summary'!F:F,'Daily Summary'!A:A,"&gt;="&amp;A9,'Daily Summary'!A:A,"&lt;="&amp;B9)</f>
        <v>0</v>
      </c>
      <c r="L9" s="17" t="n">
        <f aca="false">SUMIFS('Spending Log'!D:D,'Spending Log'!A:A,"&gt;="&amp;A9,'Spending Log'!A:A,"&lt;="&amp;B9,'Spending Log'!C:C,"Groceries")</f>
        <v>0</v>
      </c>
      <c r="M9" s="17" t="n">
        <f aca="false">SUMIFS('Spending Log'!D:D,'Spending Log'!A:A,"&gt;="&amp;A9,'Spending Log'!A:A,"&lt;="&amp;B9,'Spending Log'!C:C,"Alcohol/Beer")</f>
        <v>0</v>
      </c>
      <c r="N9" s="17" t="n">
        <f aca="false">SUMIFS('Spending Log'!D:D,'Spending Log'!A:A,"&gt;="&amp;A9,'Spending Log'!A:A,"&lt;="&amp;B9,'Spending Log'!C:C,"Eating Out")</f>
        <v>0</v>
      </c>
      <c r="O9" s="17" t="n">
        <f aca="false">SUMIFS('Spending Log'!D:D,'Spending Log'!A:A,"&gt;="&amp;A9,'Spending Log'!A:A,"&lt;="&amp;B9,'Spending Log'!C:C,"Other")</f>
        <v>0</v>
      </c>
      <c r="P9" s="17" t="n">
        <f aca="false">SUM(L9:O9)</f>
        <v>0</v>
      </c>
    </row>
    <row r="10" customFormat="false" ht="15" hidden="false" customHeight="true" outlineLevel="0" collapsed="false">
      <c r="A10" s="12" t="n">
        <f aca="false">EDATE(A9,1)</f>
        <v>149</v>
      </c>
      <c r="B10" s="12" t="n">
        <f aca="false">EOMONTH(A10,0)</f>
        <v>152</v>
      </c>
      <c r="C10" s="17" t="n">
        <f aca="false">SUMIFS('Daily Summary'!B:B,'Daily Summary'!A:A,"&gt;="&amp;A10,'Daily Summary'!A:A,"&lt;="&amp;B10)</f>
        <v>0</v>
      </c>
      <c r="D10" s="17" t="n">
        <f aca="false">C10/(B10-A10+1)</f>
        <v>0</v>
      </c>
      <c r="E10" s="17" t="n">
        <f aca="false">SUMIFS('Daily Summary'!C:C,'Daily Summary'!A:A,"&gt;="&amp;A10,'Daily Summary'!A:A,"&lt;="&amp;B10)</f>
        <v>0</v>
      </c>
      <c r="F10" s="17" t="n">
        <f aca="false">E10/(B10-A10+1)</f>
        <v>0</v>
      </c>
      <c r="G10" s="17" t="n">
        <f aca="false">SUMIFS('Daily Summary'!D:D,'Daily Summary'!A:A,"&gt;="&amp;A10,'Daily Summary'!A:A,"&lt;="&amp;B10)</f>
        <v>0</v>
      </c>
      <c r="H10" s="17" t="n">
        <f aca="false">G10/(B10-A10+1)</f>
        <v>0</v>
      </c>
      <c r="I10" s="17" t="n">
        <f aca="false">SUMIFS('Daily Summary'!E:E,'Daily Summary'!A:A,"&gt;="&amp;A10,'Daily Summary'!A:A,"&lt;="&amp;B10)</f>
        <v>0</v>
      </c>
      <c r="J10" s="17" t="n">
        <f aca="false">I10/(B10-A10+1)</f>
        <v>0</v>
      </c>
      <c r="K10" s="17" t="n">
        <f aca="false">SUMIFS('Daily Summary'!F:F,'Daily Summary'!A:A,"&gt;="&amp;A10,'Daily Summary'!A:A,"&lt;="&amp;B10)</f>
        <v>0</v>
      </c>
      <c r="L10" s="17" t="n">
        <f aca="false">SUMIFS('Spending Log'!D:D,'Spending Log'!A:A,"&gt;="&amp;A10,'Spending Log'!A:A,"&lt;="&amp;B10,'Spending Log'!C:C,"Groceries")</f>
        <v>0</v>
      </c>
      <c r="M10" s="17" t="n">
        <f aca="false">SUMIFS('Spending Log'!D:D,'Spending Log'!A:A,"&gt;="&amp;A10,'Spending Log'!A:A,"&lt;="&amp;B10,'Spending Log'!C:C,"Alcohol/Beer")</f>
        <v>0</v>
      </c>
      <c r="N10" s="17" t="n">
        <f aca="false">SUMIFS('Spending Log'!D:D,'Spending Log'!A:A,"&gt;="&amp;A10,'Spending Log'!A:A,"&lt;="&amp;B10,'Spending Log'!C:C,"Eating Out")</f>
        <v>0</v>
      </c>
      <c r="O10" s="17" t="n">
        <f aca="false">SUMIFS('Spending Log'!D:D,'Spending Log'!A:A,"&gt;="&amp;A10,'Spending Log'!A:A,"&lt;="&amp;B10,'Spending Log'!C:C,"Other")</f>
        <v>0</v>
      </c>
      <c r="P10" s="17" t="n">
        <f aca="false">SUM(L10:O10)</f>
        <v>0</v>
      </c>
    </row>
    <row r="11" customFormat="false" ht="15" hidden="false" customHeight="true" outlineLevel="0" collapsed="false">
      <c r="A11" s="12" t="n">
        <f aca="false">EDATE(A10,1)</f>
        <v>180</v>
      </c>
      <c r="B11" s="12" t="n">
        <f aca="false">EOMONTH(A11,0)</f>
        <v>182</v>
      </c>
      <c r="C11" s="17" t="n">
        <f aca="false">SUMIFS('Daily Summary'!B:B,'Daily Summary'!A:A,"&gt;="&amp;A11,'Daily Summary'!A:A,"&lt;="&amp;B11)</f>
        <v>0</v>
      </c>
      <c r="D11" s="17" t="n">
        <f aca="false">C11/(B11-A11+1)</f>
        <v>0</v>
      </c>
      <c r="E11" s="17" t="n">
        <f aca="false">SUMIFS('Daily Summary'!C:C,'Daily Summary'!A:A,"&gt;="&amp;A11,'Daily Summary'!A:A,"&lt;="&amp;B11)</f>
        <v>0</v>
      </c>
      <c r="F11" s="17" t="n">
        <f aca="false">E11/(B11-A11+1)</f>
        <v>0</v>
      </c>
      <c r="G11" s="17" t="n">
        <f aca="false">SUMIFS('Daily Summary'!D:D,'Daily Summary'!A:A,"&gt;="&amp;A11,'Daily Summary'!A:A,"&lt;="&amp;B11)</f>
        <v>0</v>
      </c>
      <c r="H11" s="17" t="n">
        <f aca="false">G11/(B11-A11+1)</f>
        <v>0</v>
      </c>
      <c r="I11" s="17" t="n">
        <f aca="false">SUMIFS('Daily Summary'!E:E,'Daily Summary'!A:A,"&gt;="&amp;A11,'Daily Summary'!A:A,"&lt;="&amp;B11)</f>
        <v>0</v>
      </c>
      <c r="J11" s="17" t="n">
        <f aca="false">I11/(B11-A11+1)</f>
        <v>0</v>
      </c>
      <c r="K11" s="17" t="n">
        <f aca="false">SUMIFS('Daily Summary'!F:F,'Daily Summary'!A:A,"&gt;="&amp;A11,'Daily Summary'!A:A,"&lt;="&amp;B11)</f>
        <v>0</v>
      </c>
      <c r="L11" s="17" t="n">
        <f aca="false">SUMIFS('Spending Log'!D:D,'Spending Log'!A:A,"&gt;="&amp;A11,'Spending Log'!A:A,"&lt;="&amp;B11,'Spending Log'!C:C,"Groceries")</f>
        <v>0</v>
      </c>
      <c r="M11" s="17" t="n">
        <f aca="false">SUMIFS('Spending Log'!D:D,'Spending Log'!A:A,"&gt;="&amp;A11,'Spending Log'!A:A,"&lt;="&amp;B11,'Spending Log'!C:C,"Alcohol/Beer")</f>
        <v>0</v>
      </c>
      <c r="N11" s="17" t="n">
        <f aca="false">SUMIFS('Spending Log'!D:D,'Spending Log'!A:A,"&gt;="&amp;A11,'Spending Log'!A:A,"&lt;="&amp;B11,'Spending Log'!C:C,"Eating Out")</f>
        <v>0</v>
      </c>
      <c r="O11" s="17" t="n">
        <f aca="false">SUMIFS('Spending Log'!D:D,'Spending Log'!A:A,"&gt;="&amp;A11,'Spending Log'!A:A,"&lt;="&amp;B11,'Spending Log'!C:C,"Other")</f>
        <v>0</v>
      </c>
      <c r="P11" s="17" t="n">
        <f aca="false">SUM(L11:O11)</f>
        <v>0</v>
      </c>
    </row>
    <row r="12" customFormat="false" ht="15" hidden="false" customHeight="true" outlineLevel="0" collapsed="false">
      <c r="A12" s="12" t="n">
        <f aca="false">EDATE(A11,1)</f>
        <v>210</v>
      </c>
      <c r="B12" s="12" t="n">
        <f aca="false">EOMONTH(A12,0)</f>
        <v>213</v>
      </c>
      <c r="C12" s="17" t="n">
        <f aca="false">SUMIFS('Daily Summary'!B:B,'Daily Summary'!A:A,"&gt;="&amp;A12,'Daily Summary'!A:A,"&lt;="&amp;B12)</f>
        <v>0</v>
      </c>
      <c r="D12" s="17" t="n">
        <f aca="false">C12/(B12-A12+1)</f>
        <v>0</v>
      </c>
      <c r="E12" s="17" t="n">
        <f aca="false">SUMIFS('Daily Summary'!C:C,'Daily Summary'!A:A,"&gt;="&amp;A12,'Daily Summary'!A:A,"&lt;="&amp;B12)</f>
        <v>0</v>
      </c>
      <c r="F12" s="17" t="n">
        <f aca="false">E12/(B12-A12+1)</f>
        <v>0</v>
      </c>
      <c r="G12" s="17" t="n">
        <f aca="false">SUMIFS('Daily Summary'!D:D,'Daily Summary'!A:A,"&gt;="&amp;A12,'Daily Summary'!A:A,"&lt;="&amp;B12)</f>
        <v>0</v>
      </c>
      <c r="H12" s="17" t="n">
        <f aca="false">G12/(B12-A12+1)</f>
        <v>0</v>
      </c>
      <c r="I12" s="17" t="n">
        <f aca="false">SUMIFS('Daily Summary'!E:E,'Daily Summary'!A:A,"&gt;="&amp;A12,'Daily Summary'!A:A,"&lt;="&amp;B12)</f>
        <v>0</v>
      </c>
      <c r="J12" s="17" t="n">
        <f aca="false">I12/(B12-A12+1)</f>
        <v>0</v>
      </c>
      <c r="K12" s="17" t="n">
        <f aca="false">SUMIFS('Daily Summary'!F:F,'Daily Summary'!A:A,"&gt;="&amp;A12,'Daily Summary'!A:A,"&lt;="&amp;B12)</f>
        <v>0</v>
      </c>
      <c r="L12" s="17" t="n">
        <f aca="false">SUMIFS('Spending Log'!D:D,'Spending Log'!A:A,"&gt;="&amp;A12,'Spending Log'!A:A,"&lt;="&amp;B12,'Spending Log'!C:C,"Groceries")</f>
        <v>0</v>
      </c>
      <c r="M12" s="17" t="n">
        <f aca="false">SUMIFS('Spending Log'!D:D,'Spending Log'!A:A,"&gt;="&amp;A12,'Spending Log'!A:A,"&lt;="&amp;B12,'Spending Log'!C:C,"Alcohol/Beer")</f>
        <v>0</v>
      </c>
      <c r="N12" s="17" t="n">
        <f aca="false">SUMIFS('Spending Log'!D:D,'Spending Log'!A:A,"&gt;="&amp;A12,'Spending Log'!A:A,"&lt;="&amp;B12,'Spending Log'!C:C,"Eating Out")</f>
        <v>0</v>
      </c>
      <c r="O12" s="17" t="n">
        <f aca="false">SUMIFS('Spending Log'!D:D,'Spending Log'!A:A,"&gt;="&amp;A12,'Spending Log'!A:A,"&lt;="&amp;B12,'Spending Log'!C:C,"Other")</f>
        <v>0</v>
      </c>
      <c r="P12" s="17" t="n">
        <f aca="false">SUM(L12:O12)</f>
        <v>0</v>
      </c>
    </row>
    <row r="13" customFormat="false" ht="15" hidden="false" customHeight="true" outlineLevel="0" collapsed="false">
      <c r="A13" s="12" t="n">
        <f aca="false">EDATE(A12,1)</f>
        <v>241</v>
      </c>
      <c r="B13" s="12" t="n">
        <f aca="false">EOMONTH(A13,0)</f>
        <v>244</v>
      </c>
      <c r="C13" s="17" t="n">
        <f aca="false">SUMIFS('Daily Summary'!B:B,'Daily Summary'!A:A,"&gt;="&amp;A13,'Daily Summary'!A:A,"&lt;="&amp;B13)</f>
        <v>0</v>
      </c>
      <c r="D13" s="17" t="n">
        <f aca="false">C13/(B13-A13+1)</f>
        <v>0</v>
      </c>
      <c r="E13" s="17" t="n">
        <f aca="false">SUMIFS('Daily Summary'!C:C,'Daily Summary'!A:A,"&gt;="&amp;A13,'Daily Summary'!A:A,"&lt;="&amp;B13)</f>
        <v>0</v>
      </c>
      <c r="F13" s="17" t="n">
        <f aca="false">E13/(B13-A13+1)</f>
        <v>0</v>
      </c>
      <c r="G13" s="17" t="n">
        <f aca="false">SUMIFS('Daily Summary'!D:D,'Daily Summary'!A:A,"&gt;="&amp;A13,'Daily Summary'!A:A,"&lt;="&amp;B13)</f>
        <v>0</v>
      </c>
      <c r="H13" s="17" t="n">
        <f aca="false">G13/(B13-A13+1)</f>
        <v>0</v>
      </c>
      <c r="I13" s="17" t="n">
        <f aca="false">SUMIFS('Daily Summary'!E:E,'Daily Summary'!A:A,"&gt;="&amp;A13,'Daily Summary'!A:A,"&lt;="&amp;B13)</f>
        <v>0</v>
      </c>
      <c r="J13" s="17" t="n">
        <f aca="false">I13/(B13-A13+1)</f>
        <v>0</v>
      </c>
      <c r="K13" s="17" t="n">
        <f aca="false">SUMIFS('Daily Summary'!F:F,'Daily Summary'!A:A,"&gt;="&amp;A13,'Daily Summary'!A:A,"&lt;="&amp;B13)</f>
        <v>0</v>
      </c>
      <c r="L13" s="17" t="n">
        <f aca="false">SUMIFS('Spending Log'!D:D,'Spending Log'!A:A,"&gt;="&amp;A13,'Spending Log'!A:A,"&lt;="&amp;B13,'Spending Log'!C:C,"Groceries")</f>
        <v>0</v>
      </c>
      <c r="M13" s="17" t="n">
        <f aca="false">SUMIFS('Spending Log'!D:D,'Spending Log'!A:A,"&gt;="&amp;A13,'Spending Log'!A:A,"&lt;="&amp;B13,'Spending Log'!C:C,"Alcohol/Beer")</f>
        <v>0</v>
      </c>
      <c r="N13" s="17" t="n">
        <f aca="false">SUMIFS('Spending Log'!D:D,'Spending Log'!A:A,"&gt;="&amp;A13,'Spending Log'!A:A,"&lt;="&amp;B13,'Spending Log'!C:C,"Eating Out")</f>
        <v>0</v>
      </c>
      <c r="O13" s="17" t="n">
        <f aca="false">SUMIFS('Spending Log'!D:D,'Spending Log'!A:A,"&gt;="&amp;A13,'Spending Log'!A:A,"&lt;="&amp;B13,'Spending Log'!C:C,"Other")</f>
        <v>0</v>
      </c>
      <c r="P13" s="17" t="n">
        <f aca="false">SUM(L13:O13)</f>
        <v>0</v>
      </c>
    </row>
    <row r="14" customFormat="false" ht="15" hidden="false" customHeight="true" outlineLevel="0" collapsed="false">
      <c r="A14" s="12" t="n">
        <f aca="false">EDATE(A13,1)</f>
        <v>272</v>
      </c>
      <c r="B14" s="12" t="n">
        <f aca="false">EOMONTH(A14,0)</f>
        <v>274</v>
      </c>
      <c r="C14" s="17" t="n">
        <f aca="false">SUMIFS('Daily Summary'!B:B,'Daily Summary'!A:A,"&gt;="&amp;A14,'Daily Summary'!A:A,"&lt;="&amp;B14)</f>
        <v>0</v>
      </c>
      <c r="D14" s="17" t="n">
        <f aca="false">C14/(B14-A14+1)</f>
        <v>0</v>
      </c>
      <c r="E14" s="17" t="n">
        <f aca="false">SUMIFS('Daily Summary'!C:C,'Daily Summary'!A:A,"&gt;="&amp;A14,'Daily Summary'!A:A,"&lt;="&amp;B14)</f>
        <v>0</v>
      </c>
      <c r="F14" s="17" t="n">
        <f aca="false">E14/(B14-A14+1)</f>
        <v>0</v>
      </c>
      <c r="G14" s="17" t="n">
        <f aca="false">SUMIFS('Daily Summary'!D:D,'Daily Summary'!A:A,"&gt;="&amp;A14,'Daily Summary'!A:A,"&lt;="&amp;B14)</f>
        <v>0</v>
      </c>
      <c r="H14" s="17" t="n">
        <f aca="false">G14/(B14-A14+1)</f>
        <v>0</v>
      </c>
      <c r="I14" s="17" t="n">
        <f aca="false">SUMIFS('Daily Summary'!E:E,'Daily Summary'!A:A,"&gt;="&amp;A14,'Daily Summary'!A:A,"&lt;="&amp;B14)</f>
        <v>0</v>
      </c>
      <c r="J14" s="17" t="n">
        <f aca="false">I14/(B14-A14+1)</f>
        <v>0</v>
      </c>
      <c r="K14" s="17" t="n">
        <f aca="false">SUMIFS('Daily Summary'!F:F,'Daily Summary'!A:A,"&gt;="&amp;A14,'Daily Summary'!A:A,"&lt;="&amp;B14)</f>
        <v>0</v>
      </c>
      <c r="L14" s="17" t="n">
        <f aca="false">SUMIFS('Spending Log'!D:D,'Spending Log'!A:A,"&gt;="&amp;A14,'Spending Log'!A:A,"&lt;="&amp;B14,'Spending Log'!C:C,"Groceries")</f>
        <v>0</v>
      </c>
      <c r="M14" s="17" t="n">
        <f aca="false">SUMIFS('Spending Log'!D:D,'Spending Log'!A:A,"&gt;="&amp;A14,'Spending Log'!A:A,"&lt;="&amp;B14,'Spending Log'!C:C,"Alcohol/Beer")</f>
        <v>0</v>
      </c>
      <c r="N14" s="17" t="n">
        <f aca="false">SUMIFS('Spending Log'!D:D,'Spending Log'!A:A,"&gt;="&amp;A14,'Spending Log'!A:A,"&lt;="&amp;B14,'Spending Log'!C:C,"Eating Out")</f>
        <v>0</v>
      </c>
      <c r="O14" s="17" t="n">
        <f aca="false">SUMIFS('Spending Log'!D:D,'Spending Log'!A:A,"&gt;="&amp;A14,'Spending Log'!A:A,"&lt;="&amp;B14,'Spending Log'!C:C,"Other")</f>
        <v>0</v>
      </c>
      <c r="P14" s="17" t="n">
        <f aca="false">SUM(L14:O14)</f>
        <v>0</v>
      </c>
    </row>
    <row r="15" customFormat="false" ht="15" hidden="false" customHeight="true" outlineLevel="0" collapsed="false">
      <c r="A15" s="12" t="n">
        <f aca="false">EDATE(A14,1)</f>
        <v>302</v>
      </c>
      <c r="B15" s="12" t="n">
        <f aca="false">EOMONTH(A15,0)</f>
        <v>305</v>
      </c>
      <c r="C15" s="17" t="n">
        <f aca="false">SUMIFS('Daily Summary'!B:B,'Daily Summary'!A:A,"&gt;="&amp;A15,'Daily Summary'!A:A,"&lt;="&amp;B15)</f>
        <v>0</v>
      </c>
      <c r="D15" s="17" t="n">
        <f aca="false">C15/(B15-A15+1)</f>
        <v>0</v>
      </c>
      <c r="E15" s="17" t="n">
        <f aca="false">SUMIFS('Daily Summary'!C:C,'Daily Summary'!A:A,"&gt;="&amp;A15,'Daily Summary'!A:A,"&lt;="&amp;B15)</f>
        <v>0</v>
      </c>
      <c r="F15" s="17" t="n">
        <f aca="false">E15/(B15-A15+1)</f>
        <v>0</v>
      </c>
      <c r="G15" s="17" t="n">
        <f aca="false">SUMIFS('Daily Summary'!D:D,'Daily Summary'!A:A,"&gt;="&amp;A15,'Daily Summary'!A:A,"&lt;="&amp;B15)</f>
        <v>0</v>
      </c>
      <c r="H15" s="17" t="n">
        <f aca="false">G15/(B15-A15+1)</f>
        <v>0</v>
      </c>
      <c r="I15" s="17" t="n">
        <f aca="false">SUMIFS('Daily Summary'!E:E,'Daily Summary'!A:A,"&gt;="&amp;A15,'Daily Summary'!A:A,"&lt;="&amp;B15)</f>
        <v>0</v>
      </c>
      <c r="J15" s="17" t="n">
        <f aca="false">I15/(B15-A15+1)</f>
        <v>0</v>
      </c>
      <c r="K15" s="17" t="n">
        <f aca="false">SUMIFS('Daily Summary'!F:F,'Daily Summary'!A:A,"&gt;="&amp;A15,'Daily Summary'!A:A,"&lt;="&amp;B15)</f>
        <v>0</v>
      </c>
      <c r="L15" s="17" t="n">
        <f aca="false">SUMIFS('Spending Log'!D:D,'Spending Log'!A:A,"&gt;="&amp;A15,'Spending Log'!A:A,"&lt;="&amp;B15,'Spending Log'!C:C,"Groceries")</f>
        <v>0</v>
      </c>
      <c r="M15" s="17" t="n">
        <f aca="false">SUMIFS('Spending Log'!D:D,'Spending Log'!A:A,"&gt;="&amp;A15,'Spending Log'!A:A,"&lt;="&amp;B15,'Spending Log'!C:C,"Alcohol/Beer")</f>
        <v>0</v>
      </c>
      <c r="N15" s="17" t="n">
        <f aca="false">SUMIFS('Spending Log'!D:D,'Spending Log'!A:A,"&gt;="&amp;A15,'Spending Log'!A:A,"&lt;="&amp;B15,'Spending Log'!C:C,"Eating Out")</f>
        <v>0</v>
      </c>
      <c r="O15" s="17" t="n">
        <f aca="false">SUMIFS('Spending Log'!D:D,'Spending Log'!A:A,"&gt;="&amp;A15,'Spending Log'!A:A,"&lt;="&amp;B15,'Spending Log'!C:C,"Other")</f>
        <v>0</v>
      </c>
      <c r="P15" s="17" t="n">
        <f aca="false">SUM(L15:O15)</f>
        <v>0</v>
      </c>
    </row>
    <row r="16" customFormat="false" ht="15" hidden="false" customHeight="true" outlineLevel="0" collapsed="false">
      <c r="A16" s="12" t="n">
        <f aca="false">EDATE(A15,1)</f>
        <v>333</v>
      </c>
      <c r="B16" s="12" t="n">
        <f aca="false">EOMONTH(A16,0)</f>
        <v>335</v>
      </c>
      <c r="C16" s="17" t="n">
        <f aca="false">SUMIFS('Daily Summary'!B:B,'Daily Summary'!A:A,"&gt;="&amp;A16,'Daily Summary'!A:A,"&lt;="&amp;B16)</f>
        <v>0</v>
      </c>
      <c r="D16" s="17" t="n">
        <f aca="false">C16/(B16-A16+1)</f>
        <v>0</v>
      </c>
      <c r="E16" s="17" t="n">
        <f aca="false">SUMIFS('Daily Summary'!C:C,'Daily Summary'!A:A,"&gt;="&amp;A16,'Daily Summary'!A:A,"&lt;="&amp;B16)</f>
        <v>0</v>
      </c>
      <c r="F16" s="17" t="n">
        <f aca="false">E16/(B16-A16+1)</f>
        <v>0</v>
      </c>
      <c r="G16" s="17" t="n">
        <f aca="false">SUMIFS('Daily Summary'!D:D,'Daily Summary'!A:A,"&gt;="&amp;A16,'Daily Summary'!A:A,"&lt;="&amp;B16)</f>
        <v>0</v>
      </c>
      <c r="H16" s="17" t="n">
        <f aca="false">G16/(B16-A16+1)</f>
        <v>0</v>
      </c>
      <c r="I16" s="17" t="n">
        <f aca="false">SUMIFS('Daily Summary'!E:E,'Daily Summary'!A:A,"&gt;="&amp;A16,'Daily Summary'!A:A,"&lt;="&amp;B16)</f>
        <v>0</v>
      </c>
      <c r="J16" s="17" t="n">
        <f aca="false">I16/(B16-A16+1)</f>
        <v>0</v>
      </c>
      <c r="K16" s="17" t="n">
        <f aca="false">SUMIFS('Daily Summary'!F:F,'Daily Summary'!A:A,"&gt;="&amp;A16,'Daily Summary'!A:A,"&lt;="&amp;B16)</f>
        <v>0</v>
      </c>
      <c r="L16" s="17" t="n">
        <f aca="false">SUMIFS('Spending Log'!D:D,'Spending Log'!A:A,"&gt;="&amp;A16,'Spending Log'!A:A,"&lt;="&amp;B16,'Spending Log'!C:C,"Groceries")</f>
        <v>0</v>
      </c>
      <c r="M16" s="17" t="n">
        <f aca="false">SUMIFS('Spending Log'!D:D,'Spending Log'!A:A,"&gt;="&amp;A16,'Spending Log'!A:A,"&lt;="&amp;B16,'Spending Log'!C:C,"Alcohol/Beer")</f>
        <v>0</v>
      </c>
      <c r="N16" s="17" t="n">
        <f aca="false">SUMIFS('Spending Log'!D:D,'Spending Log'!A:A,"&gt;="&amp;A16,'Spending Log'!A:A,"&lt;="&amp;B16,'Spending Log'!C:C,"Eating Out")</f>
        <v>0</v>
      </c>
      <c r="O16" s="17" t="n">
        <f aca="false">SUMIFS('Spending Log'!D:D,'Spending Log'!A:A,"&gt;="&amp;A16,'Spending Log'!A:A,"&lt;="&amp;B16,'Spending Log'!C:C,"Other")</f>
        <v>0</v>
      </c>
      <c r="P16" s="17" t="n">
        <f aca="false">SUM(L16:O16)</f>
        <v>0</v>
      </c>
    </row>
    <row r="17" customFormat="false" ht="15" hidden="false" customHeight="true" outlineLevel="0" collapsed="false">
      <c r="A17" s="12" t="n">
        <f aca="false">EDATE(A16,1)</f>
        <v>363</v>
      </c>
      <c r="B17" s="12" t="n">
        <f aca="false">EOMONTH(A17,0)</f>
        <v>366</v>
      </c>
      <c r="C17" s="17" t="n">
        <f aca="false">SUMIFS('Daily Summary'!B:B,'Daily Summary'!A:A,"&gt;="&amp;A17,'Daily Summary'!A:A,"&lt;="&amp;B17)</f>
        <v>0</v>
      </c>
      <c r="D17" s="17" t="n">
        <f aca="false">C17/(B17-A17+1)</f>
        <v>0</v>
      </c>
      <c r="E17" s="17" t="n">
        <f aca="false">SUMIFS('Daily Summary'!C:C,'Daily Summary'!A:A,"&gt;="&amp;A17,'Daily Summary'!A:A,"&lt;="&amp;B17)</f>
        <v>0</v>
      </c>
      <c r="F17" s="17" t="n">
        <f aca="false">E17/(B17-A17+1)</f>
        <v>0</v>
      </c>
      <c r="G17" s="17" t="n">
        <f aca="false">SUMIFS('Daily Summary'!D:D,'Daily Summary'!A:A,"&gt;="&amp;A17,'Daily Summary'!A:A,"&lt;="&amp;B17)</f>
        <v>0</v>
      </c>
      <c r="H17" s="17" t="n">
        <f aca="false">G17/(B17-A17+1)</f>
        <v>0</v>
      </c>
      <c r="I17" s="17" t="n">
        <f aca="false">SUMIFS('Daily Summary'!E:E,'Daily Summary'!A:A,"&gt;="&amp;A17,'Daily Summary'!A:A,"&lt;="&amp;B17)</f>
        <v>0</v>
      </c>
      <c r="J17" s="17" t="n">
        <f aca="false">I17/(B17-A17+1)</f>
        <v>0</v>
      </c>
      <c r="K17" s="17" t="n">
        <f aca="false">SUMIFS('Daily Summary'!F:F,'Daily Summary'!A:A,"&gt;="&amp;A17,'Daily Summary'!A:A,"&lt;="&amp;B17)</f>
        <v>0</v>
      </c>
      <c r="L17" s="17" t="n">
        <f aca="false">SUMIFS('Spending Log'!D:D,'Spending Log'!A:A,"&gt;="&amp;A17,'Spending Log'!A:A,"&lt;="&amp;B17,'Spending Log'!C:C,"Groceries")</f>
        <v>0</v>
      </c>
      <c r="M17" s="17" t="n">
        <f aca="false">SUMIFS('Spending Log'!D:D,'Spending Log'!A:A,"&gt;="&amp;A17,'Spending Log'!A:A,"&lt;="&amp;B17,'Spending Log'!C:C,"Alcohol/Beer")</f>
        <v>0</v>
      </c>
      <c r="N17" s="17" t="n">
        <f aca="false">SUMIFS('Spending Log'!D:D,'Spending Log'!A:A,"&gt;="&amp;A17,'Spending Log'!A:A,"&lt;="&amp;B17,'Spending Log'!C:C,"Eating Out")</f>
        <v>0</v>
      </c>
      <c r="O17" s="17" t="n">
        <f aca="false">SUMIFS('Spending Log'!D:D,'Spending Log'!A:A,"&gt;="&amp;A17,'Spending Log'!A:A,"&lt;="&amp;B17,'Spending Log'!C:C,"Other")</f>
        <v>0</v>
      </c>
      <c r="P17" s="17" t="n">
        <f aca="false">SUM(L17:O17)</f>
        <v>0</v>
      </c>
    </row>
    <row r="18" customFormat="false" ht="15" hidden="false" customHeight="true" outlineLevel="0" collapsed="false">
      <c r="A18" s="12" t="n">
        <f aca="false">EDATE(A17,1)</f>
        <v>394</v>
      </c>
      <c r="B18" s="12" t="n">
        <f aca="false">EOMONTH(A18,0)</f>
        <v>397</v>
      </c>
      <c r="C18" s="17" t="n">
        <f aca="false">SUMIFS('Daily Summary'!B:B,'Daily Summary'!A:A,"&gt;="&amp;A18,'Daily Summary'!A:A,"&lt;="&amp;B18)</f>
        <v>0</v>
      </c>
      <c r="D18" s="17" t="n">
        <f aca="false">C18/(B18-A18+1)</f>
        <v>0</v>
      </c>
      <c r="E18" s="17" t="n">
        <f aca="false">SUMIFS('Daily Summary'!C:C,'Daily Summary'!A:A,"&gt;="&amp;A18,'Daily Summary'!A:A,"&lt;="&amp;B18)</f>
        <v>0</v>
      </c>
      <c r="F18" s="17" t="n">
        <f aca="false">E18/(B18-A18+1)</f>
        <v>0</v>
      </c>
      <c r="G18" s="17" t="n">
        <f aca="false">SUMIFS('Daily Summary'!D:D,'Daily Summary'!A:A,"&gt;="&amp;A18,'Daily Summary'!A:A,"&lt;="&amp;B18)</f>
        <v>0</v>
      </c>
      <c r="H18" s="17" t="n">
        <f aca="false">G18/(B18-A18+1)</f>
        <v>0</v>
      </c>
      <c r="I18" s="17" t="n">
        <f aca="false">SUMIFS('Daily Summary'!E:E,'Daily Summary'!A:A,"&gt;="&amp;A18,'Daily Summary'!A:A,"&lt;="&amp;B18)</f>
        <v>0</v>
      </c>
      <c r="J18" s="17" t="n">
        <f aca="false">I18/(B18-A18+1)</f>
        <v>0</v>
      </c>
      <c r="K18" s="17" t="n">
        <f aca="false">SUMIFS('Daily Summary'!F:F,'Daily Summary'!A:A,"&gt;="&amp;A18,'Daily Summary'!A:A,"&lt;="&amp;B18)</f>
        <v>0</v>
      </c>
      <c r="L18" s="17" t="n">
        <f aca="false">SUMIFS('Spending Log'!D:D,'Spending Log'!A:A,"&gt;="&amp;A18,'Spending Log'!A:A,"&lt;="&amp;B18,'Spending Log'!C:C,"Groceries")</f>
        <v>0</v>
      </c>
      <c r="M18" s="17" t="n">
        <f aca="false">SUMIFS('Spending Log'!D:D,'Spending Log'!A:A,"&gt;="&amp;A18,'Spending Log'!A:A,"&lt;="&amp;B18,'Spending Log'!C:C,"Alcohol/Beer")</f>
        <v>0</v>
      </c>
      <c r="N18" s="17" t="n">
        <f aca="false">SUMIFS('Spending Log'!D:D,'Spending Log'!A:A,"&gt;="&amp;A18,'Spending Log'!A:A,"&lt;="&amp;B18,'Spending Log'!C:C,"Eating Out")</f>
        <v>0</v>
      </c>
      <c r="O18" s="17" t="n">
        <f aca="false">SUMIFS('Spending Log'!D:D,'Spending Log'!A:A,"&gt;="&amp;A18,'Spending Log'!A:A,"&lt;="&amp;B18,'Spending Log'!C:C,"Other")</f>
        <v>0</v>
      </c>
      <c r="P18" s="17" t="n">
        <f aca="false">SUM(L18:O18)</f>
        <v>0</v>
      </c>
    </row>
    <row r="19" customFormat="false" ht="15" hidden="false" customHeight="true" outlineLevel="0" collapsed="false">
      <c r="A19" s="12" t="n">
        <f aca="false">EDATE(A18,1)</f>
        <v>425</v>
      </c>
      <c r="B19" s="12" t="n">
        <f aca="false">EOMONTH(A19,0)</f>
        <v>425</v>
      </c>
      <c r="C19" s="17" t="n">
        <f aca="false">SUMIFS('Daily Summary'!B:B,'Daily Summary'!A:A,"&gt;="&amp;A19,'Daily Summary'!A:A,"&lt;="&amp;B19)</f>
        <v>0</v>
      </c>
      <c r="D19" s="17" t="n">
        <f aca="false">C19/(B19-A19+1)</f>
        <v>0</v>
      </c>
      <c r="E19" s="17" t="n">
        <f aca="false">SUMIFS('Daily Summary'!C:C,'Daily Summary'!A:A,"&gt;="&amp;A19,'Daily Summary'!A:A,"&lt;="&amp;B19)</f>
        <v>0</v>
      </c>
      <c r="F19" s="17" t="n">
        <f aca="false">E19/(B19-A19+1)</f>
        <v>0</v>
      </c>
      <c r="G19" s="17" t="n">
        <f aca="false">SUMIFS('Daily Summary'!D:D,'Daily Summary'!A:A,"&gt;="&amp;A19,'Daily Summary'!A:A,"&lt;="&amp;B19)</f>
        <v>0</v>
      </c>
      <c r="H19" s="17" t="n">
        <f aca="false">G19/(B19-A19+1)</f>
        <v>0</v>
      </c>
      <c r="I19" s="17" t="n">
        <f aca="false">SUMIFS('Daily Summary'!E:E,'Daily Summary'!A:A,"&gt;="&amp;A19,'Daily Summary'!A:A,"&lt;="&amp;B19)</f>
        <v>0</v>
      </c>
      <c r="J19" s="17" t="n">
        <f aca="false">I19/(B19-A19+1)</f>
        <v>0</v>
      </c>
      <c r="K19" s="17" t="n">
        <f aca="false">SUMIFS('Daily Summary'!F:F,'Daily Summary'!A:A,"&gt;="&amp;A19,'Daily Summary'!A:A,"&lt;="&amp;B19)</f>
        <v>0</v>
      </c>
      <c r="L19" s="17" t="n">
        <f aca="false">SUMIFS('Spending Log'!D:D,'Spending Log'!A:A,"&gt;="&amp;A19,'Spending Log'!A:A,"&lt;="&amp;B19,'Spending Log'!C:C,"Groceries")</f>
        <v>0</v>
      </c>
      <c r="M19" s="17" t="n">
        <f aca="false">SUMIFS('Spending Log'!D:D,'Spending Log'!A:A,"&gt;="&amp;A19,'Spending Log'!A:A,"&lt;="&amp;B19,'Spending Log'!C:C,"Alcohol/Beer")</f>
        <v>0</v>
      </c>
      <c r="N19" s="17" t="n">
        <f aca="false">SUMIFS('Spending Log'!D:D,'Spending Log'!A:A,"&gt;="&amp;A19,'Spending Log'!A:A,"&lt;="&amp;B19,'Spending Log'!C:C,"Eating Out")</f>
        <v>0</v>
      </c>
      <c r="O19" s="17" t="n">
        <f aca="false">SUMIFS('Spending Log'!D:D,'Spending Log'!A:A,"&gt;="&amp;A19,'Spending Log'!A:A,"&lt;="&amp;B19,'Spending Log'!C:C,"Other")</f>
        <v>0</v>
      </c>
      <c r="P19" s="17" t="n">
        <f aca="false">SUM(L19:O19)</f>
        <v>0</v>
      </c>
    </row>
    <row r="20" customFormat="false" ht="15" hidden="false" customHeight="true" outlineLevel="0" collapsed="false">
      <c r="A20" s="12" t="n">
        <f aca="false">EDATE(A19,1)</f>
        <v>453</v>
      </c>
      <c r="B20" s="12" t="n">
        <f aca="false">EOMONTH(A20,0)</f>
        <v>456</v>
      </c>
      <c r="C20" s="17" t="n">
        <f aca="false">SUMIFS('Daily Summary'!B:B,'Daily Summary'!A:A,"&gt;="&amp;A20,'Daily Summary'!A:A,"&lt;="&amp;B20)</f>
        <v>0</v>
      </c>
      <c r="D20" s="17" t="n">
        <f aca="false">C20/(B20-A20+1)</f>
        <v>0</v>
      </c>
      <c r="E20" s="17" t="n">
        <f aca="false">SUMIFS('Daily Summary'!C:C,'Daily Summary'!A:A,"&gt;="&amp;A20,'Daily Summary'!A:A,"&lt;="&amp;B20)</f>
        <v>0</v>
      </c>
      <c r="F20" s="17" t="n">
        <f aca="false">E20/(B20-A20+1)</f>
        <v>0</v>
      </c>
      <c r="G20" s="17" t="n">
        <f aca="false">SUMIFS('Daily Summary'!D:D,'Daily Summary'!A:A,"&gt;="&amp;A20,'Daily Summary'!A:A,"&lt;="&amp;B20)</f>
        <v>0</v>
      </c>
      <c r="H20" s="17" t="n">
        <f aca="false">G20/(B20-A20+1)</f>
        <v>0</v>
      </c>
      <c r="I20" s="17" t="n">
        <f aca="false">SUMIFS('Daily Summary'!E:E,'Daily Summary'!A:A,"&gt;="&amp;A20,'Daily Summary'!A:A,"&lt;="&amp;B20)</f>
        <v>0</v>
      </c>
      <c r="J20" s="17" t="n">
        <f aca="false">I20/(B20-A20+1)</f>
        <v>0</v>
      </c>
      <c r="K20" s="17" t="n">
        <f aca="false">SUMIFS('Daily Summary'!F:F,'Daily Summary'!A:A,"&gt;="&amp;A20,'Daily Summary'!A:A,"&lt;="&amp;B20)</f>
        <v>0</v>
      </c>
      <c r="L20" s="17" t="n">
        <f aca="false">SUMIFS('Spending Log'!D:D,'Spending Log'!A:A,"&gt;="&amp;A20,'Spending Log'!A:A,"&lt;="&amp;B20,'Spending Log'!C:C,"Groceries")</f>
        <v>0</v>
      </c>
      <c r="M20" s="17" t="n">
        <f aca="false">SUMIFS('Spending Log'!D:D,'Spending Log'!A:A,"&gt;="&amp;A20,'Spending Log'!A:A,"&lt;="&amp;B20,'Spending Log'!C:C,"Alcohol/Beer")</f>
        <v>0</v>
      </c>
      <c r="N20" s="17" t="n">
        <f aca="false">SUMIFS('Spending Log'!D:D,'Spending Log'!A:A,"&gt;="&amp;A20,'Spending Log'!A:A,"&lt;="&amp;B20,'Spending Log'!C:C,"Eating Out")</f>
        <v>0</v>
      </c>
      <c r="O20" s="17" t="n">
        <f aca="false">SUMIFS('Spending Log'!D:D,'Spending Log'!A:A,"&gt;="&amp;A20,'Spending Log'!A:A,"&lt;="&amp;B20,'Spending Log'!C:C,"Other")</f>
        <v>0</v>
      </c>
      <c r="P20" s="17" t="n">
        <f aca="false">SUM(L20:O20)</f>
        <v>0</v>
      </c>
    </row>
    <row r="21" customFormat="false" ht="15" hidden="false" customHeight="true" outlineLevel="0" collapsed="false">
      <c r="A21" s="12" t="n">
        <f aca="false">EDATE(A20,1)</f>
        <v>484</v>
      </c>
      <c r="B21" s="12" t="n">
        <f aca="false">EOMONTH(A21,0)</f>
        <v>486</v>
      </c>
      <c r="C21" s="17" t="n">
        <f aca="false">SUMIFS('Daily Summary'!B:B,'Daily Summary'!A:A,"&gt;="&amp;A21,'Daily Summary'!A:A,"&lt;="&amp;B21)</f>
        <v>0</v>
      </c>
      <c r="D21" s="17" t="n">
        <f aca="false">C21/(B21-A21+1)</f>
        <v>0</v>
      </c>
      <c r="E21" s="17" t="n">
        <f aca="false">SUMIFS('Daily Summary'!C:C,'Daily Summary'!A:A,"&gt;="&amp;A21,'Daily Summary'!A:A,"&lt;="&amp;B21)</f>
        <v>0</v>
      </c>
      <c r="F21" s="17" t="n">
        <f aca="false">E21/(B21-A21+1)</f>
        <v>0</v>
      </c>
      <c r="G21" s="17" t="n">
        <f aca="false">SUMIFS('Daily Summary'!D:D,'Daily Summary'!A:A,"&gt;="&amp;A21,'Daily Summary'!A:A,"&lt;="&amp;B21)</f>
        <v>0</v>
      </c>
      <c r="H21" s="17" t="n">
        <f aca="false">G21/(B21-A21+1)</f>
        <v>0</v>
      </c>
      <c r="I21" s="17" t="n">
        <f aca="false">SUMIFS('Daily Summary'!E:E,'Daily Summary'!A:A,"&gt;="&amp;A21,'Daily Summary'!A:A,"&lt;="&amp;B21)</f>
        <v>0</v>
      </c>
      <c r="J21" s="17" t="n">
        <f aca="false">I21/(B21-A21+1)</f>
        <v>0</v>
      </c>
      <c r="K21" s="17" t="n">
        <f aca="false">SUMIFS('Daily Summary'!F:F,'Daily Summary'!A:A,"&gt;="&amp;A21,'Daily Summary'!A:A,"&lt;="&amp;B21)</f>
        <v>0</v>
      </c>
      <c r="L21" s="17" t="n">
        <f aca="false">SUMIFS('Spending Log'!D:D,'Spending Log'!A:A,"&gt;="&amp;A21,'Spending Log'!A:A,"&lt;="&amp;B21,'Spending Log'!C:C,"Groceries")</f>
        <v>0</v>
      </c>
      <c r="M21" s="17" t="n">
        <f aca="false">SUMIFS('Spending Log'!D:D,'Spending Log'!A:A,"&gt;="&amp;A21,'Spending Log'!A:A,"&lt;="&amp;B21,'Spending Log'!C:C,"Alcohol/Beer")</f>
        <v>0</v>
      </c>
      <c r="N21" s="17" t="n">
        <f aca="false">SUMIFS('Spending Log'!D:D,'Spending Log'!A:A,"&gt;="&amp;A21,'Spending Log'!A:A,"&lt;="&amp;B21,'Spending Log'!C:C,"Eating Out")</f>
        <v>0</v>
      </c>
      <c r="O21" s="17" t="n">
        <f aca="false">SUMIFS('Spending Log'!D:D,'Spending Log'!A:A,"&gt;="&amp;A21,'Spending Log'!A:A,"&lt;="&amp;B21,'Spending Log'!C:C,"Other")</f>
        <v>0</v>
      </c>
      <c r="P21" s="17" t="n">
        <f aca="false">SUM(L21:O21)</f>
        <v>0</v>
      </c>
    </row>
    <row r="22" customFormat="false" ht="15" hidden="false" customHeight="true" outlineLevel="0" collapsed="false">
      <c r="A22" s="12" t="n">
        <f aca="false">EDATE(A21,1)</f>
        <v>514</v>
      </c>
      <c r="B22" s="12" t="n">
        <f aca="false">EOMONTH(A22,0)</f>
        <v>517</v>
      </c>
      <c r="C22" s="17" t="n">
        <f aca="false">SUMIFS('Daily Summary'!B:B,'Daily Summary'!A:A,"&gt;="&amp;A22,'Daily Summary'!A:A,"&lt;="&amp;B22)</f>
        <v>0</v>
      </c>
      <c r="D22" s="17" t="n">
        <f aca="false">C22/(B22-A22+1)</f>
        <v>0</v>
      </c>
      <c r="E22" s="17" t="n">
        <f aca="false">SUMIFS('Daily Summary'!C:C,'Daily Summary'!A:A,"&gt;="&amp;A22,'Daily Summary'!A:A,"&lt;="&amp;B22)</f>
        <v>0</v>
      </c>
      <c r="F22" s="17" t="n">
        <f aca="false">E22/(B22-A22+1)</f>
        <v>0</v>
      </c>
      <c r="G22" s="17" t="n">
        <f aca="false">SUMIFS('Daily Summary'!D:D,'Daily Summary'!A:A,"&gt;="&amp;A22,'Daily Summary'!A:A,"&lt;="&amp;B22)</f>
        <v>0</v>
      </c>
      <c r="H22" s="17" t="n">
        <f aca="false">G22/(B22-A22+1)</f>
        <v>0</v>
      </c>
      <c r="I22" s="17" t="n">
        <f aca="false">SUMIFS('Daily Summary'!E:E,'Daily Summary'!A:A,"&gt;="&amp;A22,'Daily Summary'!A:A,"&lt;="&amp;B22)</f>
        <v>0</v>
      </c>
      <c r="J22" s="17" t="n">
        <f aca="false">I22/(B22-A22+1)</f>
        <v>0</v>
      </c>
      <c r="K22" s="17" t="n">
        <f aca="false">SUMIFS('Daily Summary'!F:F,'Daily Summary'!A:A,"&gt;="&amp;A22,'Daily Summary'!A:A,"&lt;="&amp;B22)</f>
        <v>0</v>
      </c>
      <c r="L22" s="17" t="n">
        <f aca="false">SUMIFS('Spending Log'!D:D,'Spending Log'!A:A,"&gt;="&amp;A22,'Spending Log'!A:A,"&lt;="&amp;B22,'Spending Log'!C:C,"Groceries")</f>
        <v>0</v>
      </c>
      <c r="M22" s="17" t="n">
        <f aca="false">SUMIFS('Spending Log'!D:D,'Spending Log'!A:A,"&gt;="&amp;A22,'Spending Log'!A:A,"&lt;="&amp;B22,'Spending Log'!C:C,"Alcohol/Beer")</f>
        <v>0</v>
      </c>
      <c r="N22" s="17" t="n">
        <f aca="false">SUMIFS('Spending Log'!D:D,'Spending Log'!A:A,"&gt;="&amp;A22,'Spending Log'!A:A,"&lt;="&amp;B22,'Spending Log'!C:C,"Eating Out")</f>
        <v>0</v>
      </c>
      <c r="O22" s="17" t="n">
        <f aca="false">SUMIFS('Spending Log'!D:D,'Spending Log'!A:A,"&gt;="&amp;A22,'Spending Log'!A:A,"&lt;="&amp;B22,'Spending Log'!C:C,"Other")</f>
        <v>0</v>
      </c>
      <c r="P22" s="17" t="n">
        <f aca="false">SUM(L22:O22)</f>
        <v>0</v>
      </c>
    </row>
    <row r="23" customFormat="false" ht="15" hidden="false" customHeight="true" outlineLevel="0" collapsed="false">
      <c r="A23" s="12" t="n">
        <f aca="false">EDATE(A22,1)</f>
        <v>545</v>
      </c>
      <c r="B23" s="12" t="n">
        <f aca="false">EOMONTH(A23,0)</f>
        <v>547</v>
      </c>
      <c r="C23" s="17" t="n">
        <f aca="false">SUMIFS('Daily Summary'!B:B,'Daily Summary'!A:A,"&gt;="&amp;A23,'Daily Summary'!A:A,"&lt;="&amp;B23)</f>
        <v>0</v>
      </c>
      <c r="D23" s="17" t="n">
        <f aca="false">C23/(B23-A23+1)</f>
        <v>0</v>
      </c>
      <c r="E23" s="17" t="n">
        <f aca="false">SUMIFS('Daily Summary'!C:C,'Daily Summary'!A:A,"&gt;="&amp;A23,'Daily Summary'!A:A,"&lt;="&amp;B23)</f>
        <v>0</v>
      </c>
      <c r="F23" s="17" t="n">
        <f aca="false">E23/(B23-A23+1)</f>
        <v>0</v>
      </c>
      <c r="G23" s="17" t="n">
        <f aca="false">SUMIFS('Daily Summary'!D:D,'Daily Summary'!A:A,"&gt;="&amp;A23,'Daily Summary'!A:A,"&lt;="&amp;B23)</f>
        <v>0</v>
      </c>
      <c r="H23" s="17" t="n">
        <f aca="false">G23/(B23-A23+1)</f>
        <v>0</v>
      </c>
      <c r="I23" s="17" t="n">
        <f aca="false">SUMIFS('Daily Summary'!E:E,'Daily Summary'!A:A,"&gt;="&amp;A23,'Daily Summary'!A:A,"&lt;="&amp;B23)</f>
        <v>0</v>
      </c>
      <c r="J23" s="17" t="n">
        <f aca="false">I23/(B23-A23+1)</f>
        <v>0</v>
      </c>
      <c r="K23" s="17" t="n">
        <f aca="false">SUMIFS('Daily Summary'!F:F,'Daily Summary'!A:A,"&gt;="&amp;A23,'Daily Summary'!A:A,"&lt;="&amp;B23)</f>
        <v>0</v>
      </c>
      <c r="L23" s="17" t="n">
        <f aca="false">SUMIFS('Spending Log'!D:D,'Spending Log'!A:A,"&gt;="&amp;A23,'Spending Log'!A:A,"&lt;="&amp;B23,'Spending Log'!C:C,"Groceries")</f>
        <v>0</v>
      </c>
      <c r="M23" s="17" t="n">
        <f aca="false">SUMIFS('Spending Log'!D:D,'Spending Log'!A:A,"&gt;="&amp;A23,'Spending Log'!A:A,"&lt;="&amp;B23,'Spending Log'!C:C,"Alcohol/Beer")</f>
        <v>0</v>
      </c>
      <c r="N23" s="17" t="n">
        <f aca="false">SUMIFS('Spending Log'!D:D,'Spending Log'!A:A,"&gt;="&amp;A23,'Spending Log'!A:A,"&lt;="&amp;B23,'Spending Log'!C:C,"Eating Out")</f>
        <v>0</v>
      </c>
      <c r="O23" s="17" t="n">
        <f aca="false">SUMIFS('Spending Log'!D:D,'Spending Log'!A:A,"&gt;="&amp;A23,'Spending Log'!A:A,"&lt;="&amp;B23,'Spending Log'!C:C,"Other")</f>
        <v>0</v>
      </c>
      <c r="P23" s="17" t="n">
        <f aca="false">SUM(L23:O23)</f>
        <v>0</v>
      </c>
    </row>
    <row r="24" customFormat="false" ht="15" hidden="false" customHeight="true" outlineLevel="0" collapsed="false">
      <c r="A24" s="12" t="n">
        <f aca="false">EDATE(A23,1)</f>
        <v>575</v>
      </c>
      <c r="B24" s="12" t="n">
        <f aca="false">EOMONTH(A24,0)</f>
        <v>578</v>
      </c>
      <c r="C24" s="17" t="n">
        <f aca="false">SUMIFS('Daily Summary'!B:B,'Daily Summary'!A:A,"&gt;="&amp;A24,'Daily Summary'!A:A,"&lt;="&amp;B24)</f>
        <v>0</v>
      </c>
      <c r="D24" s="17" t="n">
        <f aca="false">C24/(B24-A24+1)</f>
        <v>0</v>
      </c>
      <c r="E24" s="17" t="n">
        <f aca="false">SUMIFS('Daily Summary'!C:C,'Daily Summary'!A:A,"&gt;="&amp;A24,'Daily Summary'!A:A,"&lt;="&amp;B24)</f>
        <v>0</v>
      </c>
      <c r="F24" s="17" t="n">
        <f aca="false">E24/(B24-A24+1)</f>
        <v>0</v>
      </c>
      <c r="G24" s="17" t="n">
        <f aca="false">SUMIFS('Daily Summary'!D:D,'Daily Summary'!A:A,"&gt;="&amp;A24,'Daily Summary'!A:A,"&lt;="&amp;B24)</f>
        <v>0</v>
      </c>
      <c r="H24" s="17" t="n">
        <f aca="false">G24/(B24-A24+1)</f>
        <v>0</v>
      </c>
      <c r="I24" s="17" t="n">
        <f aca="false">SUMIFS('Daily Summary'!E:E,'Daily Summary'!A:A,"&gt;="&amp;A24,'Daily Summary'!A:A,"&lt;="&amp;B24)</f>
        <v>0</v>
      </c>
      <c r="J24" s="17" t="n">
        <f aca="false">I24/(B24-A24+1)</f>
        <v>0</v>
      </c>
      <c r="K24" s="17" t="n">
        <f aca="false">SUMIFS('Daily Summary'!F:F,'Daily Summary'!A:A,"&gt;="&amp;A24,'Daily Summary'!A:A,"&lt;="&amp;B24)</f>
        <v>0</v>
      </c>
      <c r="L24" s="17" t="n">
        <f aca="false">SUMIFS('Spending Log'!D:D,'Spending Log'!A:A,"&gt;="&amp;A24,'Spending Log'!A:A,"&lt;="&amp;B24,'Spending Log'!C:C,"Groceries")</f>
        <v>0</v>
      </c>
      <c r="M24" s="17" t="n">
        <f aca="false">SUMIFS('Spending Log'!D:D,'Spending Log'!A:A,"&gt;="&amp;A24,'Spending Log'!A:A,"&lt;="&amp;B24,'Spending Log'!C:C,"Alcohol/Beer")</f>
        <v>0</v>
      </c>
      <c r="N24" s="17" t="n">
        <f aca="false">SUMIFS('Spending Log'!D:D,'Spending Log'!A:A,"&gt;="&amp;A24,'Spending Log'!A:A,"&lt;="&amp;B24,'Spending Log'!C:C,"Eating Out")</f>
        <v>0</v>
      </c>
      <c r="O24" s="17" t="n">
        <f aca="false">SUMIFS('Spending Log'!D:D,'Spending Log'!A:A,"&gt;="&amp;A24,'Spending Log'!A:A,"&lt;="&amp;B24,'Spending Log'!C:C,"Other")</f>
        <v>0</v>
      </c>
      <c r="P24" s="17" t="n">
        <f aca="false">SUM(L24:O24)</f>
        <v>0</v>
      </c>
    </row>
    <row r="25" customFormat="false" ht="15" hidden="false" customHeight="true" outlineLevel="0" collapsed="false">
      <c r="A25" s="12" t="n">
        <f aca="false">EDATE(A24,1)</f>
        <v>606</v>
      </c>
      <c r="B25" s="12" t="n">
        <f aca="false">EOMONTH(A25,0)</f>
        <v>609</v>
      </c>
      <c r="C25" s="17" t="n">
        <f aca="false">SUMIFS('Daily Summary'!B:B,'Daily Summary'!A:A,"&gt;="&amp;A25,'Daily Summary'!A:A,"&lt;="&amp;B25)</f>
        <v>0</v>
      </c>
      <c r="D25" s="17" t="n">
        <f aca="false">C25/(B25-A25+1)</f>
        <v>0</v>
      </c>
      <c r="E25" s="17" t="n">
        <f aca="false">SUMIFS('Daily Summary'!C:C,'Daily Summary'!A:A,"&gt;="&amp;A25,'Daily Summary'!A:A,"&lt;="&amp;B25)</f>
        <v>0</v>
      </c>
      <c r="F25" s="17" t="n">
        <f aca="false">E25/(B25-A25+1)</f>
        <v>0</v>
      </c>
      <c r="G25" s="17" t="n">
        <f aca="false">SUMIFS('Daily Summary'!D:D,'Daily Summary'!A:A,"&gt;="&amp;A25,'Daily Summary'!A:A,"&lt;="&amp;B25)</f>
        <v>0</v>
      </c>
      <c r="H25" s="17" t="n">
        <f aca="false">G25/(B25-A25+1)</f>
        <v>0</v>
      </c>
      <c r="I25" s="17" t="n">
        <f aca="false">SUMIFS('Daily Summary'!E:E,'Daily Summary'!A:A,"&gt;="&amp;A25,'Daily Summary'!A:A,"&lt;="&amp;B25)</f>
        <v>0</v>
      </c>
      <c r="J25" s="17" t="n">
        <f aca="false">I25/(B25-A25+1)</f>
        <v>0</v>
      </c>
      <c r="K25" s="17" t="n">
        <f aca="false">SUMIFS('Daily Summary'!F:F,'Daily Summary'!A:A,"&gt;="&amp;A25,'Daily Summary'!A:A,"&lt;="&amp;B25)</f>
        <v>0</v>
      </c>
      <c r="L25" s="17" t="n">
        <f aca="false">SUMIFS('Spending Log'!D:D,'Spending Log'!A:A,"&gt;="&amp;A25,'Spending Log'!A:A,"&lt;="&amp;B25,'Spending Log'!C:C,"Groceries")</f>
        <v>0</v>
      </c>
      <c r="M25" s="17" t="n">
        <f aca="false">SUMIFS('Spending Log'!D:D,'Spending Log'!A:A,"&gt;="&amp;A25,'Spending Log'!A:A,"&lt;="&amp;B25,'Spending Log'!C:C,"Alcohol/Beer")</f>
        <v>0</v>
      </c>
      <c r="N25" s="17" t="n">
        <f aca="false">SUMIFS('Spending Log'!D:D,'Spending Log'!A:A,"&gt;="&amp;A25,'Spending Log'!A:A,"&lt;="&amp;B25,'Spending Log'!C:C,"Eating Out")</f>
        <v>0</v>
      </c>
      <c r="O25" s="17" t="n">
        <f aca="false">SUMIFS('Spending Log'!D:D,'Spending Log'!A:A,"&gt;="&amp;A25,'Spending Log'!A:A,"&lt;="&amp;B25,'Spending Log'!C:C,"Other")</f>
        <v>0</v>
      </c>
      <c r="P25" s="17" t="n">
        <f aca="false">SUM(L25:O25)</f>
        <v>0</v>
      </c>
    </row>
    <row r="26" customFormat="false" ht="15" hidden="false" customHeight="true" outlineLevel="0" collapsed="false">
      <c r="A26" s="12" t="n">
        <f aca="false">EDATE(A25,1)</f>
        <v>637</v>
      </c>
      <c r="B26" s="12" t="n">
        <f aca="false">EOMONTH(A26,0)</f>
        <v>639</v>
      </c>
      <c r="C26" s="17" t="n">
        <f aca="false">SUMIFS('Daily Summary'!B:B,'Daily Summary'!A:A,"&gt;="&amp;A26,'Daily Summary'!A:A,"&lt;="&amp;B26)</f>
        <v>0</v>
      </c>
      <c r="D26" s="17" t="n">
        <f aca="false">C26/(B26-A26+1)</f>
        <v>0</v>
      </c>
      <c r="E26" s="17" t="n">
        <f aca="false">SUMIFS('Daily Summary'!C:C,'Daily Summary'!A:A,"&gt;="&amp;A26,'Daily Summary'!A:A,"&lt;="&amp;B26)</f>
        <v>0</v>
      </c>
      <c r="F26" s="17" t="n">
        <f aca="false">E26/(B26-A26+1)</f>
        <v>0</v>
      </c>
      <c r="G26" s="17" t="n">
        <f aca="false">SUMIFS('Daily Summary'!D:D,'Daily Summary'!A:A,"&gt;="&amp;A26,'Daily Summary'!A:A,"&lt;="&amp;B26)</f>
        <v>0</v>
      </c>
      <c r="H26" s="17" t="n">
        <f aca="false">G26/(B26-A26+1)</f>
        <v>0</v>
      </c>
      <c r="I26" s="17" t="n">
        <f aca="false">SUMIFS('Daily Summary'!E:E,'Daily Summary'!A:A,"&gt;="&amp;A26,'Daily Summary'!A:A,"&lt;="&amp;B26)</f>
        <v>0</v>
      </c>
      <c r="J26" s="17" t="n">
        <f aca="false">I26/(B26-A26+1)</f>
        <v>0</v>
      </c>
      <c r="K26" s="17" t="n">
        <f aca="false">SUMIFS('Daily Summary'!F:F,'Daily Summary'!A:A,"&gt;="&amp;A26,'Daily Summary'!A:A,"&lt;="&amp;B26)</f>
        <v>0</v>
      </c>
      <c r="L26" s="17" t="n">
        <f aca="false">SUMIFS('Spending Log'!D:D,'Spending Log'!A:A,"&gt;="&amp;A26,'Spending Log'!A:A,"&lt;="&amp;B26,'Spending Log'!C:C,"Groceries")</f>
        <v>0</v>
      </c>
      <c r="M26" s="17" t="n">
        <f aca="false">SUMIFS('Spending Log'!D:D,'Spending Log'!A:A,"&gt;="&amp;A26,'Spending Log'!A:A,"&lt;="&amp;B26,'Spending Log'!C:C,"Alcohol/Beer")</f>
        <v>0</v>
      </c>
      <c r="N26" s="17" t="n">
        <f aca="false">SUMIFS('Spending Log'!D:D,'Spending Log'!A:A,"&gt;="&amp;A26,'Spending Log'!A:A,"&lt;="&amp;B26,'Spending Log'!C:C,"Eating Out")</f>
        <v>0</v>
      </c>
      <c r="O26" s="17" t="n">
        <f aca="false">SUMIFS('Spending Log'!D:D,'Spending Log'!A:A,"&gt;="&amp;A26,'Spending Log'!A:A,"&lt;="&amp;B26,'Spending Log'!C:C,"Other")</f>
        <v>0</v>
      </c>
      <c r="P26" s="17" t="n">
        <f aca="false">SUM(L26:O26)</f>
        <v>0</v>
      </c>
    </row>
    <row r="27" customFormat="false" ht="15" hidden="false" customHeight="true" outlineLevel="0" collapsed="false">
      <c r="A27" s="12" t="n">
        <f aca="false">EDATE(A26,1)</f>
        <v>667</v>
      </c>
      <c r="B27" s="12" t="n">
        <f aca="false">EOMONTH(A27,0)</f>
        <v>670</v>
      </c>
      <c r="C27" s="17" t="n">
        <f aca="false">SUMIFS('Daily Summary'!B:B,'Daily Summary'!A:A,"&gt;="&amp;A27,'Daily Summary'!A:A,"&lt;="&amp;B27)</f>
        <v>0</v>
      </c>
      <c r="D27" s="17" t="n">
        <f aca="false">C27/(B27-A27+1)</f>
        <v>0</v>
      </c>
      <c r="E27" s="17" t="n">
        <f aca="false">SUMIFS('Daily Summary'!C:C,'Daily Summary'!A:A,"&gt;="&amp;A27,'Daily Summary'!A:A,"&lt;="&amp;B27)</f>
        <v>0</v>
      </c>
      <c r="F27" s="17" t="n">
        <f aca="false">E27/(B27-A27+1)</f>
        <v>0</v>
      </c>
      <c r="G27" s="17" t="n">
        <f aca="false">SUMIFS('Daily Summary'!D:D,'Daily Summary'!A:A,"&gt;="&amp;A27,'Daily Summary'!A:A,"&lt;="&amp;B27)</f>
        <v>0</v>
      </c>
      <c r="H27" s="17" t="n">
        <f aca="false">G27/(B27-A27+1)</f>
        <v>0</v>
      </c>
      <c r="I27" s="17" t="n">
        <f aca="false">SUMIFS('Daily Summary'!E:E,'Daily Summary'!A:A,"&gt;="&amp;A27,'Daily Summary'!A:A,"&lt;="&amp;B27)</f>
        <v>0</v>
      </c>
      <c r="J27" s="17" t="n">
        <f aca="false">I27/(B27-A27+1)</f>
        <v>0</v>
      </c>
      <c r="K27" s="17" t="n">
        <f aca="false">SUMIFS('Daily Summary'!F:F,'Daily Summary'!A:A,"&gt;="&amp;A27,'Daily Summary'!A:A,"&lt;="&amp;B27)</f>
        <v>0</v>
      </c>
      <c r="L27" s="17" t="n">
        <f aca="false">SUMIFS('Spending Log'!D:D,'Spending Log'!A:A,"&gt;="&amp;A27,'Spending Log'!A:A,"&lt;="&amp;B27,'Spending Log'!C:C,"Groceries")</f>
        <v>0</v>
      </c>
      <c r="M27" s="17" t="n">
        <f aca="false">SUMIFS('Spending Log'!D:D,'Spending Log'!A:A,"&gt;="&amp;A27,'Spending Log'!A:A,"&lt;="&amp;B27,'Spending Log'!C:C,"Alcohol/Beer")</f>
        <v>0</v>
      </c>
      <c r="N27" s="17" t="n">
        <f aca="false">SUMIFS('Spending Log'!D:D,'Spending Log'!A:A,"&gt;="&amp;A27,'Spending Log'!A:A,"&lt;="&amp;B27,'Spending Log'!C:C,"Eating Out")</f>
        <v>0</v>
      </c>
      <c r="O27" s="17" t="n">
        <f aca="false">SUMIFS('Spending Log'!D:D,'Spending Log'!A:A,"&gt;="&amp;A27,'Spending Log'!A:A,"&lt;="&amp;B27,'Spending Log'!C:C,"Other")</f>
        <v>0</v>
      </c>
      <c r="P27" s="17" t="n">
        <f aca="false">SUM(L27:O27)</f>
        <v>0</v>
      </c>
    </row>
    <row r="28" customFormat="false" ht="15" hidden="false" customHeight="true" outlineLevel="0" collapsed="false">
      <c r="A28" s="12" t="n">
        <f aca="false">EDATE(A27,1)</f>
        <v>698</v>
      </c>
      <c r="B28" s="12" t="n">
        <f aca="false">EOMONTH(A28,0)</f>
        <v>700</v>
      </c>
      <c r="C28" s="17" t="n">
        <f aca="false">SUMIFS('Daily Summary'!B:B,'Daily Summary'!A:A,"&gt;="&amp;A28,'Daily Summary'!A:A,"&lt;="&amp;B28)</f>
        <v>0</v>
      </c>
      <c r="D28" s="17" t="n">
        <f aca="false">C28/(B28-A28+1)</f>
        <v>0</v>
      </c>
      <c r="E28" s="17" t="n">
        <f aca="false">SUMIFS('Daily Summary'!C:C,'Daily Summary'!A:A,"&gt;="&amp;A28,'Daily Summary'!A:A,"&lt;="&amp;B28)</f>
        <v>0</v>
      </c>
      <c r="F28" s="17" t="n">
        <f aca="false">E28/(B28-A28+1)</f>
        <v>0</v>
      </c>
      <c r="G28" s="17" t="n">
        <f aca="false">SUMIFS('Daily Summary'!D:D,'Daily Summary'!A:A,"&gt;="&amp;A28,'Daily Summary'!A:A,"&lt;="&amp;B28)</f>
        <v>0</v>
      </c>
      <c r="H28" s="17" t="n">
        <f aca="false">G28/(B28-A28+1)</f>
        <v>0</v>
      </c>
      <c r="I28" s="17" t="n">
        <f aca="false">SUMIFS('Daily Summary'!E:E,'Daily Summary'!A:A,"&gt;="&amp;A28,'Daily Summary'!A:A,"&lt;="&amp;B28)</f>
        <v>0</v>
      </c>
      <c r="J28" s="17" t="n">
        <f aca="false">I28/(B28-A28+1)</f>
        <v>0</v>
      </c>
      <c r="K28" s="17" t="n">
        <f aca="false">SUMIFS('Daily Summary'!F:F,'Daily Summary'!A:A,"&gt;="&amp;A28,'Daily Summary'!A:A,"&lt;="&amp;B28)</f>
        <v>0</v>
      </c>
      <c r="L28" s="17" t="n">
        <f aca="false">SUMIFS('Spending Log'!D:D,'Spending Log'!A:A,"&gt;="&amp;A28,'Spending Log'!A:A,"&lt;="&amp;B28,'Spending Log'!C:C,"Groceries")</f>
        <v>0</v>
      </c>
      <c r="M28" s="17" t="n">
        <f aca="false">SUMIFS('Spending Log'!D:D,'Spending Log'!A:A,"&gt;="&amp;A28,'Spending Log'!A:A,"&lt;="&amp;B28,'Spending Log'!C:C,"Alcohol/Beer")</f>
        <v>0</v>
      </c>
      <c r="N28" s="17" t="n">
        <f aca="false">SUMIFS('Spending Log'!D:D,'Spending Log'!A:A,"&gt;="&amp;A28,'Spending Log'!A:A,"&lt;="&amp;B28,'Spending Log'!C:C,"Eating Out")</f>
        <v>0</v>
      </c>
      <c r="O28" s="17" t="n">
        <f aca="false">SUMIFS('Spending Log'!D:D,'Spending Log'!A:A,"&gt;="&amp;A28,'Spending Log'!A:A,"&lt;="&amp;B28,'Spending Log'!C:C,"Other")</f>
        <v>0</v>
      </c>
      <c r="P28" s="17" t="n">
        <f aca="false">SUM(L28:O28)</f>
        <v>0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5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7" min="7" style="1" width="16"/>
    <col collapsed="false" customWidth="true" hidden="false" outlineLevel="0" max="8" min="8" style="1" width="12"/>
  </cols>
  <sheetData>
    <row r="1" customFormat="false" ht="19.5" hidden="false" customHeight="true" outlineLevel="0" collapsed="false">
      <c r="A1" s="9" t="s">
        <v>38</v>
      </c>
      <c r="B1" s="9" t="s">
        <v>74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75</v>
      </c>
      <c r="H1" s="9" t="s">
        <v>76</v>
      </c>
    </row>
    <row r="2" customFormat="false" ht="15" hidden="false" customHeight="true" outlineLevel="0" collapsed="false">
      <c r="A2" s="18"/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8"/>
      <c r="B3" s="19"/>
      <c r="C3" s="19"/>
      <c r="D3" s="19"/>
      <c r="E3" s="19"/>
      <c r="F3" s="19"/>
      <c r="G3" s="19"/>
      <c r="H3" s="19"/>
    </row>
    <row r="4" customFormat="false" ht="15" hidden="false" customHeight="true" outlineLevel="0" collapsed="false">
      <c r="A4" s="18"/>
      <c r="B4" s="19"/>
      <c r="C4" s="19"/>
      <c r="D4" s="19"/>
      <c r="E4" s="19"/>
      <c r="F4" s="19"/>
      <c r="G4" s="19"/>
      <c r="H4" s="19"/>
    </row>
    <row r="5" customFormat="false" ht="15" hidden="false" customHeight="true" outlineLevel="0" collapsed="false">
      <c r="A5" s="18"/>
      <c r="B5" s="19"/>
      <c r="C5" s="19"/>
      <c r="D5" s="19"/>
      <c r="E5" s="19"/>
      <c r="F5" s="19"/>
      <c r="G5" s="19"/>
      <c r="H5" s="19"/>
    </row>
    <row r="6" customFormat="false" ht="15" hidden="false" customHeight="true" outlineLevel="0" collapsed="false">
      <c r="A6" s="18"/>
      <c r="B6" s="19"/>
      <c r="C6" s="19"/>
      <c r="D6" s="19"/>
      <c r="E6" s="19"/>
      <c r="F6" s="19"/>
      <c r="G6" s="19"/>
      <c r="H6" s="19"/>
    </row>
    <row r="7" customFormat="false" ht="15" hidden="false" customHeight="true" outlineLevel="0" collapsed="false">
      <c r="A7" s="18"/>
      <c r="B7" s="19"/>
      <c r="C7" s="19"/>
      <c r="D7" s="19"/>
      <c r="E7" s="19"/>
      <c r="F7" s="19"/>
      <c r="G7" s="19"/>
      <c r="H7" s="19"/>
    </row>
    <row r="8" customFormat="false" ht="15" hidden="false" customHeight="true" outlineLevel="0" collapsed="false">
      <c r="A8" s="18"/>
      <c r="B8" s="19"/>
      <c r="C8" s="19"/>
      <c r="D8" s="19"/>
      <c r="E8" s="19"/>
      <c r="F8" s="19"/>
      <c r="G8" s="19"/>
      <c r="H8" s="19"/>
    </row>
    <row r="9" customFormat="false" ht="15" hidden="false" customHeight="true" outlineLevel="0" collapsed="false">
      <c r="A9" s="18"/>
      <c r="B9" s="19"/>
      <c r="C9" s="19"/>
      <c r="D9" s="19"/>
      <c r="E9" s="19"/>
      <c r="F9" s="19"/>
      <c r="G9" s="19"/>
      <c r="H9" s="19"/>
    </row>
    <row r="10" customFormat="false" ht="15" hidden="false" customHeight="true" outlineLevel="0" collapsed="false">
      <c r="A10" s="18"/>
      <c r="B10" s="19"/>
      <c r="C10" s="19"/>
      <c r="D10" s="19"/>
      <c r="E10" s="19"/>
      <c r="F10" s="19"/>
      <c r="G10" s="19"/>
      <c r="H10" s="19"/>
    </row>
    <row r="11" customFormat="false" ht="15" hidden="false" customHeight="true" outlineLevel="0" collapsed="false">
      <c r="A11" s="18"/>
      <c r="B11" s="19"/>
      <c r="C11" s="19"/>
      <c r="D11" s="19"/>
      <c r="E11" s="19"/>
      <c r="F11" s="19"/>
      <c r="G11" s="19"/>
      <c r="H11" s="19"/>
    </row>
    <row r="12" customFormat="false" ht="15" hidden="false" customHeight="true" outlineLevel="0" collapsed="false">
      <c r="A12" s="10"/>
      <c r="B12" s="20"/>
      <c r="C12" s="20"/>
      <c r="D12" s="20"/>
      <c r="E12" s="20"/>
      <c r="F12" s="20"/>
      <c r="G12" s="20"/>
      <c r="H12" s="20"/>
    </row>
    <row r="13" customFormat="false" ht="15" hidden="false" customHeight="true" outlineLevel="0" collapsed="false">
      <c r="A13" s="10"/>
      <c r="B13" s="20"/>
      <c r="C13" s="20"/>
      <c r="D13" s="20"/>
      <c r="E13" s="20"/>
      <c r="F13" s="20"/>
      <c r="G13" s="20"/>
      <c r="H13" s="20"/>
    </row>
    <row r="14" customFormat="false" ht="15" hidden="false" customHeight="true" outlineLevel="0" collapsed="false">
      <c r="A14" s="10"/>
      <c r="B14" s="20"/>
      <c r="C14" s="20"/>
      <c r="D14" s="20"/>
      <c r="E14" s="20"/>
      <c r="F14" s="20"/>
      <c r="G14" s="20"/>
      <c r="H14" s="20"/>
    </row>
    <row r="15" customFormat="false" ht="15" hidden="false" customHeight="true" outlineLevel="0" collapsed="false">
      <c r="A15" s="10"/>
      <c r="B15" s="20"/>
      <c r="C15" s="20"/>
      <c r="D15" s="20"/>
      <c r="E15" s="20"/>
      <c r="F15" s="20"/>
      <c r="G15" s="20"/>
      <c r="H15" s="20"/>
    </row>
    <row r="16" customFormat="false" ht="15" hidden="false" customHeight="true" outlineLevel="0" collapsed="false">
      <c r="A16" s="10"/>
      <c r="B16" s="20"/>
      <c r="C16" s="20"/>
      <c r="D16" s="20"/>
      <c r="E16" s="20"/>
      <c r="F16" s="20"/>
      <c r="G16" s="20"/>
      <c r="H16" s="20"/>
    </row>
    <row r="17" customFormat="false" ht="15" hidden="false" customHeight="true" outlineLevel="0" collapsed="false">
      <c r="A17" s="10"/>
      <c r="B17" s="20"/>
      <c r="C17" s="20"/>
      <c r="D17" s="20"/>
      <c r="E17" s="20"/>
      <c r="F17" s="20"/>
      <c r="G17" s="20"/>
      <c r="H17" s="20"/>
    </row>
    <row r="18" customFormat="false" ht="15" hidden="false" customHeight="true" outlineLevel="0" collapsed="false">
      <c r="A18" s="10"/>
      <c r="B18" s="20"/>
      <c r="C18" s="20"/>
      <c r="D18" s="20"/>
      <c r="E18" s="20"/>
      <c r="F18" s="20"/>
      <c r="G18" s="20"/>
      <c r="H18" s="20"/>
    </row>
    <row r="19" customFormat="false" ht="15" hidden="false" customHeight="true" outlineLevel="0" collapsed="false">
      <c r="A19" s="10"/>
      <c r="B19" s="20"/>
      <c r="C19" s="20"/>
      <c r="D19" s="20"/>
      <c r="E19" s="20"/>
      <c r="F19" s="20"/>
      <c r="G19" s="20"/>
      <c r="H19" s="20"/>
    </row>
    <row r="20" customFormat="false" ht="15" hidden="false" customHeight="true" outlineLevel="0" collapsed="false">
      <c r="A20" s="10"/>
      <c r="B20" s="20"/>
      <c r="C20" s="20"/>
      <c r="D20" s="20"/>
      <c r="E20" s="20"/>
      <c r="F20" s="20"/>
      <c r="G20" s="20"/>
      <c r="H20" s="20"/>
    </row>
    <row r="21" customFormat="false" ht="15" hidden="false" customHeight="true" outlineLevel="0" collapsed="false">
      <c r="A21" s="10"/>
      <c r="B21" s="20"/>
      <c r="C21" s="20"/>
      <c r="D21" s="20"/>
      <c r="E21" s="20"/>
      <c r="F21" s="20"/>
      <c r="G21" s="20"/>
      <c r="H21" s="20"/>
    </row>
    <row r="22" customFormat="false" ht="15" hidden="false" customHeight="true" outlineLevel="0" collapsed="false">
      <c r="A22" s="10"/>
      <c r="B22" s="20"/>
      <c r="C22" s="20"/>
      <c r="D22" s="20"/>
      <c r="E22" s="20"/>
      <c r="F22" s="20"/>
      <c r="G22" s="20"/>
      <c r="H22" s="20"/>
    </row>
    <row r="23" customFormat="false" ht="15" hidden="false" customHeight="true" outlineLevel="0" collapsed="false">
      <c r="A23" s="10"/>
      <c r="B23" s="20"/>
      <c r="C23" s="20"/>
      <c r="D23" s="20"/>
      <c r="E23" s="20"/>
      <c r="F23" s="20"/>
      <c r="G23" s="20"/>
      <c r="H23" s="20"/>
    </row>
    <row r="24" customFormat="false" ht="15" hidden="false" customHeight="true" outlineLevel="0" collapsed="false">
      <c r="A24" s="10"/>
      <c r="B24" s="20"/>
      <c r="C24" s="20"/>
      <c r="D24" s="20"/>
      <c r="E24" s="20"/>
      <c r="F24" s="20"/>
      <c r="G24" s="20"/>
      <c r="H24" s="20"/>
    </row>
    <row r="25" customFormat="false" ht="15" hidden="false" customHeight="true" outlineLevel="0" collapsed="false">
      <c r="A25" s="10"/>
      <c r="B25" s="20"/>
      <c r="C25" s="20"/>
      <c r="D25" s="20"/>
      <c r="E25" s="20"/>
      <c r="F25" s="20"/>
      <c r="G25" s="20"/>
      <c r="H25" s="20"/>
    </row>
    <row r="26" customFormat="false" ht="15" hidden="false" customHeight="true" outlineLevel="0" collapsed="false">
      <c r="A26" s="10"/>
      <c r="B26" s="20"/>
      <c r="C26" s="20"/>
      <c r="D26" s="20"/>
      <c r="E26" s="20"/>
      <c r="F26" s="20"/>
      <c r="G26" s="20"/>
      <c r="H26" s="20"/>
    </row>
    <row r="27" customFormat="false" ht="15" hidden="false" customHeight="true" outlineLevel="0" collapsed="false">
      <c r="A27" s="10"/>
      <c r="B27" s="20"/>
      <c r="C27" s="20"/>
      <c r="D27" s="20"/>
      <c r="E27" s="20"/>
      <c r="F27" s="20"/>
      <c r="G27" s="20"/>
      <c r="H27" s="20"/>
    </row>
    <row r="28" customFormat="false" ht="15" hidden="false" customHeight="true" outlineLevel="0" collapsed="false">
      <c r="A28" s="10"/>
      <c r="B28" s="20"/>
      <c r="C28" s="20"/>
      <c r="D28" s="20"/>
      <c r="E28" s="20"/>
      <c r="F28" s="20"/>
      <c r="G28" s="20"/>
      <c r="H28" s="20"/>
    </row>
    <row r="29" customFormat="false" ht="15" hidden="false" customHeight="true" outlineLevel="0" collapsed="false">
      <c r="A29" s="10"/>
      <c r="B29" s="20"/>
      <c r="C29" s="20"/>
      <c r="D29" s="20"/>
      <c r="E29" s="20"/>
      <c r="F29" s="20"/>
      <c r="G29" s="20"/>
      <c r="H29" s="20"/>
    </row>
    <row r="30" customFormat="false" ht="15" hidden="false" customHeight="true" outlineLevel="0" collapsed="false">
      <c r="A30" s="10"/>
      <c r="B30" s="20"/>
      <c r="C30" s="20"/>
      <c r="D30" s="20"/>
      <c r="E30" s="20"/>
      <c r="F30" s="20"/>
      <c r="G30" s="20"/>
      <c r="H30" s="20"/>
    </row>
    <row r="31" customFormat="false" ht="15" hidden="false" customHeight="true" outlineLevel="0" collapsed="false">
      <c r="A31" s="10"/>
      <c r="B31" s="20"/>
      <c r="C31" s="20"/>
      <c r="D31" s="20"/>
      <c r="E31" s="20"/>
      <c r="F31" s="20"/>
      <c r="G31" s="20"/>
      <c r="H31" s="20"/>
    </row>
    <row r="32" customFormat="false" ht="15" hidden="false" customHeight="true" outlineLevel="0" collapsed="false">
      <c r="A32" s="10"/>
      <c r="B32" s="20"/>
      <c r="C32" s="20"/>
      <c r="D32" s="20"/>
      <c r="E32" s="20"/>
      <c r="F32" s="20"/>
      <c r="G32" s="20"/>
      <c r="H32" s="20"/>
    </row>
    <row r="33" customFormat="false" ht="15" hidden="false" customHeight="true" outlineLevel="0" collapsed="false">
      <c r="A33" s="10"/>
      <c r="B33" s="20"/>
      <c r="C33" s="20"/>
      <c r="D33" s="20"/>
      <c r="E33" s="20"/>
      <c r="F33" s="20"/>
      <c r="G33" s="20"/>
      <c r="H33" s="20"/>
    </row>
    <row r="34" customFormat="false" ht="15" hidden="false" customHeight="true" outlineLevel="0" collapsed="false">
      <c r="A34" s="10"/>
      <c r="B34" s="20"/>
      <c r="C34" s="20"/>
      <c r="D34" s="20"/>
      <c r="E34" s="20"/>
      <c r="F34" s="20"/>
      <c r="G34" s="20"/>
      <c r="H34" s="20"/>
    </row>
    <row r="35" customFormat="false" ht="15" hidden="false" customHeight="true" outlineLevel="0" collapsed="false">
      <c r="A35" s="10"/>
      <c r="B35" s="20"/>
      <c r="C35" s="20"/>
      <c r="D35" s="20"/>
      <c r="E35" s="20"/>
      <c r="F35" s="20"/>
      <c r="G35" s="20"/>
      <c r="H35" s="20"/>
    </row>
    <row r="36" customFormat="false" ht="15" hidden="false" customHeight="true" outlineLevel="0" collapsed="false">
      <c r="A36" s="10"/>
      <c r="B36" s="20"/>
      <c r="C36" s="20"/>
      <c r="D36" s="20"/>
      <c r="E36" s="20"/>
      <c r="F36" s="20"/>
      <c r="G36" s="20"/>
      <c r="H36" s="20"/>
    </row>
    <row r="37" customFormat="false" ht="15" hidden="false" customHeight="true" outlineLevel="0" collapsed="false">
      <c r="A37" s="10"/>
      <c r="B37" s="20"/>
      <c r="C37" s="20"/>
      <c r="D37" s="20"/>
      <c r="E37" s="20"/>
      <c r="F37" s="20"/>
      <c r="G37" s="20"/>
      <c r="H37" s="20"/>
    </row>
    <row r="38" customFormat="false" ht="15" hidden="false" customHeight="true" outlineLevel="0" collapsed="false">
      <c r="A38" s="10"/>
      <c r="B38" s="20"/>
      <c r="C38" s="20"/>
      <c r="D38" s="20"/>
      <c r="E38" s="20"/>
      <c r="F38" s="20"/>
      <c r="G38" s="20"/>
      <c r="H38" s="20"/>
    </row>
    <row r="39" customFormat="false" ht="15" hidden="false" customHeight="true" outlineLevel="0" collapsed="false">
      <c r="A39" s="10"/>
      <c r="B39" s="20"/>
      <c r="C39" s="20"/>
      <c r="D39" s="20"/>
      <c r="E39" s="20"/>
      <c r="F39" s="20"/>
      <c r="G39" s="20"/>
      <c r="H39" s="20"/>
    </row>
    <row r="40" customFormat="false" ht="15" hidden="false" customHeight="true" outlineLevel="0" collapsed="false">
      <c r="A40" s="10"/>
      <c r="B40" s="20"/>
      <c r="C40" s="20"/>
      <c r="D40" s="20"/>
      <c r="E40" s="20"/>
      <c r="F40" s="20"/>
      <c r="G40" s="20"/>
      <c r="H40" s="20"/>
    </row>
    <row r="41" customFormat="false" ht="15" hidden="false" customHeight="true" outlineLevel="0" collapsed="false">
      <c r="A41" s="10"/>
      <c r="B41" s="20"/>
      <c r="C41" s="20"/>
      <c r="D41" s="20"/>
      <c r="E41" s="20"/>
      <c r="F41" s="20"/>
      <c r="G41" s="20"/>
      <c r="H41" s="20"/>
    </row>
    <row r="42" customFormat="false" ht="15" hidden="false" customHeight="true" outlineLevel="0" collapsed="false">
      <c r="A42" s="10"/>
      <c r="B42" s="20"/>
      <c r="C42" s="20"/>
      <c r="D42" s="20"/>
      <c r="E42" s="20"/>
      <c r="F42" s="20"/>
      <c r="G42" s="20"/>
      <c r="H42" s="20"/>
    </row>
    <row r="43" customFormat="false" ht="15" hidden="false" customHeight="true" outlineLevel="0" collapsed="false">
      <c r="A43" s="10"/>
      <c r="B43" s="20"/>
      <c r="C43" s="20"/>
      <c r="D43" s="20"/>
      <c r="E43" s="20"/>
      <c r="F43" s="20"/>
      <c r="G43" s="20"/>
      <c r="H43" s="20"/>
    </row>
    <row r="44" customFormat="false" ht="15" hidden="false" customHeight="true" outlineLevel="0" collapsed="false">
      <c r="A44" s="10"/>
      <c r="B44" s="20"/>
      <c r="C44" s="20"/>
      <c r="D44" s="20"/>
      <c r="E44" s="20"/>
      <c r="F44" s="20"/>
      <c r="G44" s="20"/>
      <c r="H44" s="20"/>
    </row>
    <row r="45" customFormat="false" ht="15" hidden="false" customHeight="true" outlineLevel="0" collapsed="false">
      <c r="A45" s="10"/>
      <c r="B45" s="20"/>
      <c r="C45" s="20"/>
      <c r="D45" s="20"/>
      <c r="E45" s="20"/>
      <c r="F45" s="20"/>
      <c r="G45" s="20"/>
      <c r="H45" s="20"/>
    </row>
    <row r="46" customFormat="false" ht="15" hidden="false" customHeight="true" outlineLevel="0" collapsed="false">
      <c r="A46" s="10"/>
      <c r="B46" s="20"/>
      <c r="C46" s="20"/>
      <c r="D46" s="20"/>
      <c r="E46" s="20"/>
      <c r="F46" s="20"/>
      <c r="G46" s="20"/>
      <c r="H46" s="20"/>
    </row>
    <row r="47" customFormat="false" ht="15" hidden="false" customHeight="true" outlineLevel="0" collapsed="false">
      <c r="A47" s="10"/>
      <c r="B47" s="20"/>
      <c r="C47" s="20"/>
      <c r="D47" s="20"/>
      <c r="E47" s="20"/>
      <c r="F47" s="20"/>
      <c r="G47" s="20"/>
      <c r="H47" s="20"/>
    </row>
    <row r="48" customFormat="false" ht="15" hidden="false" customHeight="true" outlineLevel="0" collapsed="false">
      <c r="A48" s="10"/>
      <c r="B48" s="20"/>
      <c r="C48" s="20"/>
      <c r="D48" s="20"/>
      <c r="E48" s="20"/>
      <c r="F48" s="20"/>
      <c r="G48" s="20"/>
      <c r="H48" s="20"/>
    </row>
    <row r="49" customFormat="false" ht="15" hidden="false" customHeight="true" outlineLevel="0" collapsed="false">
      <c r="A49" s="10"/>
      <c r="B49" s="20"/>
      <c r="C49" s="20"/>
      <c r="D49" s="20"/>
      <c r="E49" s="20"/>
      <c r="F49" s="20"/>
      <c r="G49" s="20"/>
      <c r="H49" s="20"/>
    </row>
    <row r="50" customFormat="false" ht="15" hidden="false" customHeight="true" outlineLevel="0" collapsed="false">
      <c r="A50" s="10"/>
      <c r="B50" s="20"/>
      <c r="C50" s="20"/>
      <c r="D50" s="20"/>
      <c r="E50" s="20"/>
      <c r="F50" s="20"/>
      <c r="G50" s="20"/>
      <c r="H50" s="20"/>
    </row>
    <row r="51" customFormat="false" ht="15" hidden="false" customHeight="true" outlineLevel="0" collapsed="false">
      <c r="A51" s="10"/>
      <c r="B51" s="20"/>
      <c r="C51" s="20"/>
      <c r="D51" s="20"/>
      <c r="E51" s="20"/>
      <c r="F51" s="20"/>
      <c r="G51" s="20"/>
      <c r="H51" s="20"/>
    </row>
    <row r="52" customFormat="false" ht="15" hidden="false" customHeight="true" outlineLevel="0" collapsed="false">
      <c r="A52" s="10"/>
      <c r="B52" s="20"/>
      <c r="C52" s="20"/>
      <c r="D52" s="20"/>
      <c r="E52" s="20"/>
      <c r="F52" s="20"/>
      <c r="G52" s="20"/>
      <c r="H52" s="20"/>
    </row>
    <row r="53" customFormat="false" ht="15" hidden="false" customHeight="true" outlineLevel="0" collapsed="false">
      <c r="A53" s="10"/>
      <c r="B53" s="20"/>
      <c r="C53" s="20"/>
      <c r="D53" s="20"/>
      <c r="E53" s="20"/>
      <c r="F53" s="20"/>
      <c r="G53" s="20"/>
      <c r="H53" s="20"/>
    </row>
    <row r="54" customFormat="false" ht="15" hidden="false" customHeight="true" outlineLevel="0" collapsed="false">
      <c r="A54" s="10"/>
      <c r="B54" s="20"/>
      <c r="C54" s="20"/>
      <c r="D54" s="20"/>
      <c r="E54" s="20"/>
      <c r="F54" s="20"/>
      <c r="G54" s="20"/>
      <c r="H54" s="20"/>
    </row>
    <row r="55" customFormat="false" ht="15" hidden="false" customHeight="true" outlineLevel="0" collapsed="false">
      <c r="A55" s="10"/>
      <c r="B55" s="20"/>
      <c r="C55" s="20"/>
      <c r="D55" s="20"/>
      <c r="E55" s="20"/>
      <c r="F55" s="20"/>
      <c r="G55" s="20"/>
      <c r="H55" s="20"/>
    </row>
    <row r="56" customFormat="false" ht="15" hidden="false" customHeight="true" outlineLevel="0" collapsed="false">
      <c r="A56" s="10"/>
      <c r="B56" s="20"/>
      <c r="C56" s="20"/>
      <c r="D56" s="20"/>
      <c r="E56" s="20"/>
      <c r="F56" s="20"/>
      <c r="G56" s="20"/>
      <c r="H56" s="20"/>
    </row>
    <row r="57" customFormat="false" ht="15" hidden="false" customHeight="true" outlineLevel="0" collapsed="false">
      <c r="A57" s="21"/>
      <c r="C57" s="22"/>
      <c r="D57" s="22"/>
      <c r="E57" s="22"/>
      <c r="F57" s="22"/>
    </row>
    <row r="58" customFormat="false" ht="15" hidden="false" customHeight="true" outlineLevel="0" collapsed="false">
      <c r="A58" s="21"/>
      <c r="C58" s="22"/>
      <c r="D58" s="22"/>
      <c r="E58" s="22"/>
      <c r="F58" s="22"/>
    </row>
    <row r="59" customFormat="false" ht="15" hidden="false" customHeight="true" outlineLevel="0" collapsed="false">
      <c r="A59" s="21"/>
      <c r="C59" s="22"/>
      <c r="D59" s="22"/>
      <c r="E59" s="22"/>
      <c r="F59" s="22"/>
    </row>
    <row r="60" customFormat="false" ht="15" hidden="false" customHeight="true" outlineLevel="0" collapsed="false">
      <c r="A60" s="23"/>
      <c r="B60" s="24"/>
      <c r="C60" s="25"/>
      <c r="D60" s="25"/>
      <c r="E60" s="25"/>
      <c r="F60" s="25"/>
      <c r="G60" s="24"/>
      <c r="H60" s="24"/>
    </row>
    <row r="61" customFormat="false" ht="15" hidden="false" customHeight="true" outlineLevel="0" collapsed="false">
      <c r="A61" s="23"/>
      <c r="B61" s="24"/>
      <c r="C61" s="25"/>
      <c r="D61" s="25"/>
      <c r="E61" s="25"/>
      <c r="F61" s="25"/>
      <c r="G61" s="24"/>
      <c r="H61" s="24"/>
    </row>
    <row r="62" customFormat="false" ht="15" hidden="false" customHeight="true" outlineLevel="0" collapsed="false">
      <c r="A62" s="23"/>
      <c r="B62" s="24"/>
      <c r="C62" s="25"/>
      <c r="D62" s="25"/>
      <c r="E62" s="25"/>
      <c r="F62" s="25"/>
      <c r="G62" s="24"/>
      <c r="H62" s="24"/>
    </row>
    <row r="63" customFormat="false" ht="15" hidden="false" customHeight="true" outlineLevel="0" collapsed="false">
      <c r="A63" s="23"/>
      <c r="B63" s="24"/>
      <c r="C63" s="25"/>
      <c r="D63" s="25"/>
      <c r="E63" s="25"/>
      <c r="F63" s="25"/>
      <c r="G63" s="24"/>
      <c r="H63" s="24"/>
    </row>
    <row r="64" customFormat="false" ht="15" hidden="false" customHeight="true" outlineLevel="0" collapsed="false">
      <c r="A64" s="23"/>
      <c r="B64" s="24"/>
      <c r="C64" s="25"/>
      <c r="D64" s="25"/>
      <c r="E64" s="25"/>
      <c r="F64" s="25"/>
      <c r="G64" s="24"/>
      <c r="H64" s="24"/>
    </row>
    <row r="65" customFormat="false" ht="15" hidden="false" customHeight="true" outlineLevel="0" collapsed="false">
      <c r="A65" s="26"/>
      <c r="C65" s="22"/>
      <c r="D65" s="22"/>
      <c r="E65" s="22"/>
      <c r="F65" s="22"/>
    </row>
    <row r="66" customFormat="false" ht="15" hidden="false" customHeight="true" outlineLevel="0" collapsed="false">
      <c r="A66" s="27"/>
      <c r="C66" s="22"/>
      <c r="D66" s="22"/>
      <c r="E66" s="22"/>
      <c r="F66" s="22"/>
    </row>
    <row r="67" customFormat="false" ht="15" hidden="false" customHeight="true" outlineLevel="0" collapsed="false">
      <c r="A67" s="21"/>
      <c r="C67" s="22"/>
      <c r="D67" s="22"/>
      <c r="E67" s="22"/>
      <c r="F67" s="22"/>
    </row>
    <row r="68" customFormat="false" ht="15" hidden="false" customHeight="true" outlineLevel="0" collapsed="false">
      <c r="A68" s="21"/>
      <c r="C68" s="22"/>
      <c r="D68" s="22"/>
      <c r="E68" s="22"/>
      <c r="F68" s="22"/>
    </row>
    <row r="69" customFormat="false" ht="15" hidden="false" customHeight="true" outlineLevel="0" collapsed="false">
      <c r="A69" s="26"/>
      <c r="C69" s="22"/>
      <c r="D69" s="22"/>
      <c r="E69" s="22"/>
      <c r="F69" s="22"/>
    </row>
    <row r="70" customFormat="false" ht="15" hidden="false" customHeight="true" outlineLevel="0" collapsed="false">
      <c r="A70" s="23"/>
      <c r="B70" s="24"/>
      <c r="C70" s="25"/>
      <c r="D70" s="25"/>
      <c r="E70" s="25"/>
      <c r="F70" s="25"/>
      <c r="G70" s="24"/>
      <c r="H70" s="24"/>
    </row>
    <row r="71" customFormat="false" ht="15" hidden="false" customHeight="true" outlineLevel="0" collapsed="false">
      <c r="A71" s="23"/>
      <c r="B71" s="24"/>
      <c r="C71" s="25"/>
      <c r="D71" s="25"/>
      <c r="E71" s="25"/>
      <c r="F71" s="25"/>
      <c r="G71" s="24"/>
      <c r="H71" s="24"/>
    </row>
    <row r="72" customFormat="false" ht="15" hidden="false" customHeight="true" outlineLevel="0" collapsed="false">
      <c r="A72" s="23"/>
      <c r="B72" s="24"/>
      <c r="C72" s="25"/>
      <c r="D72" s="25"/>
      <c r="E72" s="25"/>
      <c r="F72" s="25"/>
      <c r="G72" s="24"/>
      <c r="H72" s="24"/>
    </row>
    <row r="73" customFormat="false" ht="15" hidden="false" customHeight="true" outlineLevel="0" collapsed="false">
      <c r="A73" s="23"/>
      <c r="B73" s="24"/>
      <c r="C73" s="25"/>
      <c r="D73" s="25"/>
      <c r="E73" s="25"/>
      <c r="F73" s="25"/>
      <c r="G73" s="24"/>
      <c r="H73" s="24"/>
    </row>
    <row r="74" customFormat="false" ht="15" hidden="false" customHeight="true" outlineLevel="0" collapsed="false">
      <c r="A74" s="23"/>
      <c r="B74" s="24"/>
      <c r="C74" s="25"/>
      <c r="D74" s="25"/>
      <c r="E74" s="25"/>
      <c r="F74" s="25"/>
      <c r="G74" s="24"/>
      <c r="H74" s="24"/>
    </row>
    <row r="75" customFormat="false" ht="15" hidden="false" customHeight="true" outlineLevel="0" collapsed="false">
      <c r="A75" s="23"/>
      <c r="B75" s="24"/>
      <c r="C75" s="25"/>
      <c r="D75" s="25"/>
      <c r="E75" s="25"/>
      <c r="F75" s="25"/>
      <c r="G75" s="24"/>
      <c r="H75" s="24"/>
    </row>
    <row r="76" customFormat="false" ht="15" hidden="false" customHeight="true" outlineLevel="0" collapsed="false">
      <c r="A76" s="23"/>
      <c r="B76" s="24"/>
      <c r="C76" s="25"/>
      <c r="D76" s="25"/>
      <c r="E76" s="25"/>
      <c r="F76" s="25"/>
      <c r="G76" s="24"/>
      <c r="H76" s="24"/>
    </row>
    <row r="77" customFormat="false" ht="15" hidden="false" customHeight="true" outlineLevel="0" collapsed="false">
      <c r="A77" s="23"/>
      <c r="B77" s="24"/>
      <c r="C77" s="25"/>
      <c r="D77" s="25"/>
      <c r="E77" s="25"/>
      <c r="F77" s="25"/>
      <c r="G77" s="24"/>
      <c r="H77" s="24"/>
    </row>
    <row r="78" customFormat="false" ht="15" hidden="false" customHeight="true" outlineLevel="0" collapsed="false">
      <c r="A78" s="23"/>
      <c r="B78" s="24"/>
      <c r="C78" s="25"/>
      <c r="D78" s="25"/>
      <c r="E78" s="25"/>
      <c r="F78" s="25"/>
      <c r="G78" s="24"/>
      <c r="H78" s="24"/>
    </row>
    <row r="79" customFormat="false" ht="15" hidden="false" customHeight="true" outlineLevel="0" collapsed="false">
      <c r="A79" s="23"/>
      <c r="B79" s="24"/>
      <c r="C79" s="25"/>
      <c r="D79" s="25"/>
      <c r="E79" s="25"/>
      <c r="F79" s="25"/>
      <c r="G79" s="24"/>
      <c r="H79" s="24"/>
    </row>
    <row r="80" customFormat="false" ht="15" hidden="false" customHeight="true" outlineLevel="0" collapsed="false">
      <c r="A80" s="26"/>
      <c r="C80" s="22"/>
      <c r="D80" s="22"/>
      <c r="E80" s="22"/>
      <c r="F80" s="22"/>
    </row>
    <row r="81" customFormat="false" ht="15" hidden="false" customHeight="true" outlineLevel="0" collapsed="false">
      <c r="A81" s="27"/>
      <c r="C81" s="22"/>
      <c r="D81" s="22"/>
      <c r="E81" s="22"/>
      <c r="F81" s="22"/>
    </row>
    <row r="82" customFormat="false" ht="15" hidden="false" customHeight="true" outlineLevel="0" collapsed="false">
      <c r="A82" s="21"/>
      <c r="C82" s="22"/>
      <c r="D82" s="22"/>
      <c r="E82" s="22"/>
      <c r="F82" s="22"/>
    </row>
    <row r="83" customFormat="false" ht="15" hidden="false" customHeight="true" outlineLevel="0" collapsed="false">
      <c r="A83" s="21"/>
      <c r="C83" s="22"/>
      <c r="D83" s="22"/>
      <c r="E83" s="22"/>
      <c r="F83" s="22"/>
    </row>
    <row r="84" customFormat="false" ht="15" hidden="false" customHeight="true" outlineLevel="0" collapsed="false">
      <c r="A84" s="26"/>
      <c r="C84" s="22"/>
      <c r="D84" s="22"/>
      <c r="E84" s="22"/>
      <c r="F84" s="22"/>
    </row>
    <row r="85" customFormat="false" ht="15" hidden="false" customHeight="true" outlineLevel="0" collapsed="false">
      <c r="A85" s="23"/>
      <c r="B85" s="24"/>
      <c r="C85" s="25"/>
      <c r="D85" s="25"/>
      <c r="E85" s="25"/>
      <c r="F85" s="25"/>
      <c r="G85" s="24"/>
      <c r="H85" s="24"/>
    </row>
    <row r="86" customFormat="false" ht="15" hidden="false" customHeight="true" outlineLevel="0" collapsed="false">
      <c r="A86" s="23"/>
      <c r="B86" s="24"/>
      <c r="C86" s="25"/>
      <c r="D86" s="25"/>
      <c r="E86" s="25"/>
      <c r="F86" s="25"/>
      <c r="G86" s="24"/>
      <c r="H86" s="24"/>
    </row>
    <row r="87" customFormat="false" ht="15" hidden="false" customHeight="true" outlineLevel="0" collapsed="false">
      <c r="A87" s="23"/>
      <c r="B87" s="24"/>
      <c r="C87" s="25"/>
      <c r="D87" s="25"/>
      <c r="E87" s="25"/>
      <c r="F87" s="25"/>
      <c r="G87" s="24"/>
      <c r="H87" s="24"/>
    </row>
    <row r="88" customFormat="false" ht="15" hidden="false" customHeight="true" outlineLevel="0" collapsed="false">
      <c r="A88" s="23"/>
      <c r="B88" s="24"/>
      <c r="C88" s="25"/>
      <c r="D88" s="25"/>
      <c r="E88" s="25"/>
      <c r="F88" s="25"/>
      <c r="G88" s="24"/>
      <c r="H88" s="24"/>
    </row>
    <row r="89" customFormat="false" ht="15" hidden="false" customHeight="true" outlineLevel="0" collapsed="false">
      <c r="A89" s="23"/>
      <c r="B89" s="24"/>
      <c r="C89" s="25"/>
      <c r="D89" s="25"/>
      <c r="E89" s="25"/>
      <c r="F89" s="25"/>
      <c r="G89" s="24"/>
      <c r="H89" s="24"/>
    </row>
    <row r="90" customFormat="false" ht="15" hidden="false" customHeight="true" outlineLevel="0" collapsed="false">
      <c r="A90" s="23"/>
      <c r="B90" s="24"/>
      <c r="C90" s="25"/>
      <c r="D90" s="25"/>
      <c r="E90" s="25"/>
      <c r="F90" s="25"/>
      <c r="G90" s="24"/>
      <c r="H90" s="24"/>
    </row>
    <row r="91" customFormat="false" ht="15" hidden="false" customHeight="true" outlineLevel="0" collapsed="false">
      <c r="A91" s="26"/>
      <c r="C91" s="22"/>
      <c r="D91" s="22"/>
      <c r="E91" s="22"/>
      <c r="F91" s="22"/>
    </row>
    <row r="92" customFormat="false" ht="15" hidden="false" customHeight="true" outlineLevel="0" collapsed="false">
      <c r="A92" s="27"/>
      <c r="C92" s="22"/>
      <c r="D92" s="22"/>
      <c r="E92" s="22"/>
      <c r="F92" s="22"/>
    </row>
    <row r="93" customFormat="false" ht="15" hidden="false" customHeight="true" outlineLevel="0" collapsed="false">
      <c r="A93" s="21"/>
      <c r="C93" s="22"/>
      <c r="D93" s="22"/>
      <c r="E93" s="22"/>
      <c r="F93" s="22"/>
    </row>
    <row r="94" customFormat="false" ht="15" hidden="false" customHeight="true" outlineLevel="0" collapsed="false">
      <c r="A94" s="21"/>
      <c r="C94" s="22"/>
      <c r="D94" s="22"/>
      <c r="E94" s="22"/>
      <c r="F94" s="22"/>
    </row>
    <row r="95" customFormat="false" ht="15" hidden="false" customHeight="true" outlineLevel="0" collapsed="false">
      <c r="A95" s="21"/>
      <c r="C95" s="22"/>
      <c r="D95" s="22"/>
      <c r="E95" s="22"/>
      <c r="F95" s="22"/>
    </row>
    <row r="96" customFormat="false" ht="15" hidden="false" customHeight="true" outlineLevel="0" collapsed="false">
      <c r="A96" s="21"/>
      <c r="C96" s="22"/>
      <c r="D96" s="22"/>
      <c r="E96" s="22"/>
      <c r="F96" s="22"/>
    </row>
    <row r="97" customFormat="false" ht="15" hidden="false" customHeight="true" outlineLevel="0" collapsed="false">
      <c r="A97" s="21"/>
      <c r="C97" s="22"/>
      <c r="D97" s="22"/>
      <c r="E97" s="22"/>
      <c r="F97" s="22"/>
    </row>
    <row r="98" customFormat="false" ht="15" hidden="false" customHeight="true" outlineLevel="0" collapsed="false">
      <c r="A98" s="23"/>
      <c r="B98" s="24"/>
      <c r="C98" s="25"/>
      <c r="D98" s="25"/>
      <c r="E98" s="25"/>
      <c r="F98" s="25"/>
      <c r="G98" s="24"/>
      <c r="H98" s="24"/>
    </row>
    <row r="99" customFormat="false" ht="15" hidden="false" customHeight="true" outlineLevel="0" collapsed="false">
      <c r="A99" s="23"/>
      <c r="B99" s="24"/>
      <c r="C99" s="25"/>
      <c r="D99" s="25"/>
      <c r="E99" s="25"/>
      <c r="F99" s="25"/>
      <c r="G99" s="24"/>
      <c r="H99" s="24"/>
    </row>
    <row r="100" customFormat="false" ht="15" hidden="false" customHeight="true" outlineLevel="0" collapsed="false">
      <c r="A100" s="23"/>
      <c r="B100" s="24"/>
      <c r="C100" s="25"/>
      <c r="D100" s="25"/>
      <c r="E100" s="25"/>
      <c r="F100" s="25"/>
      <c r="G100" s="24"/>
      <c r="H100" s="24"/>
    </row>
    <row r="101" customFormat="false" ht="15" hidden="false" customHeight="true" outlineLevel="0" collapsed="false">
      <c r="A101" s="23"/>
      <c r="B101" s="24"/>
      <c r="C101" s="25"/>
      <c r="D101" s="25"/>
      <c r="E101" s="25"/>
      <c r="F101" s="25"/>
      <c r="G101" s="24"/>
      <c r="H101" s="24"/>
    </row>
    <row r="102" customFormat="false" ht="15" hidden="false" customHeight="true" outlineLevel="0" collapsed="false">
      <c r="A102" s="23"/>
      <c r="B102" s="24"/>
      <c r="C102" s="25"/>
      <c r="D102" s="25"/>
      <c r="E102" s="25"/>
      <c r="F102" s="25"/>
      <c r="G102" s="24"/>
      <c r="H102" s="24"/>
    </row>
    <row r="103" customFormat="false" ht="15" hidden="false" customHeight="true" outlineLevel="0" collapsed="false">
      <c r="A103" s="27"/>
      <c r="C103" s="22"/>
      <c r="D103" s="22"/>
      <c r="E103" s="22"/>
      <c r="F103" s="22"/>
    </row>
    <row r="104" customFormat="false" ht="15" hidden="false" customHeight="true" outlineLevel="0" collapsed="false">
      <c r="A104" s="27"/>
      <c r="C104" s="22"/>
      <c r="D104" s="22"/>
      <c r="E104" s="22"/>
      <c r="F104" s="22"/>
    </row>
    <row r="105" customFormat="false" ht="15" hidden="false" customHeight="true" outlineLevel="0" collapsed="false">
      <c r="A105" s="27"/>
      <c r="C105" s="22"/>
      <c r="D105" s="22"/>
      <c r="E105" s="22"/>
      <c r="F105" s="22"/>
    </row>
    <row r="106" customFormat="false" ht="15" hidden="false" customHeight="true" outlineLevel="0" collapsed="false">
      <c r="A106" s="27"/>
      <c r="C106" s="22"/>
      <c r="D106" s="22"/>
      <c r="E106" s="22"/>
      <c r="F106" s="22"/>
    </row>
    <row r="107" customFormat="false" ht="15" hidden="false" customHeight="true" outlineLevel="0" collapsed="false">
      <c r="A107" s="27"/>
      <c r="C107" s="22"/>
      <c r="D107" s="22"/>
      <c r="E107" s="22"/>
      <c r="F107" s="22"/>
    </row>
    <row r="108" customFormat="false" ht="15" hidden="false" customHeight="true" outlineLevel="0" collapsed="false">
      <c r="A108" s="27"/>
      <c r="C108" s="22"/>
      <c r="D108" s="22"/>
      <c r="E108" s="22"/>
      <c r="F108" s="22"/>
    </row>
    <row r="109" customFormat="false" ht="15" hidden="false" customHeight="true" outlineLevel="0" collapsed="false">
      <c r="A109" s="23"/>
      <c r="B109" s="24"/>
      <c r="C109" s="25"/>
      <c r="D109" s="25"/>
      <c r="E109" s="25"/>
      <c r="F109" s="25"/>
      <c r="G109" s="24"/>
      <c r="H109" s="24"/>
    </row>
    <row r="110" customFormat="false" ht="15" hidden="false" customHeight="true" outlineLevel="0" collapsed="false">
      <c r="A110" s="26"/>
      <c r="C110" s="22"/>
      <c r="D110" s="22"/>
      <c r="E110" s="22"/>
      <c r="F110" s="22"/>
    </row>
    <row r="111" customFormat="false" ht="15" hidden="false" customHeight="true" outlineLevel="0" collapsed="false">
      <c r="A111" s="28"/>
      <c r="C111" s="22"/>
      <c r="D111" s="22"/>
      <c r="E111" s="22"/>
      <c r="F111" s="22"/>
    </row>
    <row r="112" customFormat="false" ht="15" hidden="false" customHeight="true" outlineLevel="0" collapsed="false">
      <c r="A112" s="28"/>
      <c r="C112" s="22"/>
      <c r="D112" s="22"/>
      <c r="E112" s="22"/>
      <c r="F112" s="22"/>
    </row>
    <row r="113" customFormat="false" ht="15" hidden="false" customHeight="true" outlineLevel="0" collapsed="false">
      <c r="A113" s="28"/>
      <c r="C113" s="22"/>
      <c r="D113" s="22"/>
      <c r="E113" s="22"/>
      <c r="F113" s="22"/>
    </row>
    <row r="114" customFormat="false" ht="15" hidden="false" customHeight="true" outlineLevel="0" collapsed="false">
      <c r="A114" s="26"/>
      <c r="C114" s="22"/>
      <c r="D114" s="22"/>
      <c r="E114" s="22"/>
      <c r="F114" s="22"/>
    </row>
    <row r="115" customFormat="false" ht="15" hidden="false" customHeight="true" outlineLevel="0" collapsed="false">
      <c r="A115" s="26"/>
      <c r="C115" s="22"/>
      <c r="D115" s="22"/>
      <c r="E115" s="22"/>
      <c r="F115" s="22"/>
    </row>
    <row r="116" customFormat="false" ht="15" hidden="false" customHeight="true" outlineLevel="0" collapsed="false">
      <c r="A116" s="26"/>
      <c r="C116" s="22"/>
      <c r="D116" s="22"/>
      <c r="E116" s="22"/>
      <c r="F116" s="22"/>
    </row>
    <row r="117" customFormat="false" ht="15" hidden="false" customHeight="true" outlineLevel="0" collapsed="false">
      <c r="A117" s="26"/>
      <c r="C117" s="22"/>
      <c r="D117" s="22"/>
      <c r="E117" s="22"/>
      <c r="F117" s="22"/>
    </row>
    <row r="118" customFormat="false" ht="15" hidden="false" customHeight="true" outlineLevel="0" collapsed="false">
      <c r="A118" s="26"/>
      <c r="C118" s="22"/>
      <c r="D118" s="22"/>
      <c r="E118" s="22"/>
      <c r="F118" s="22"/>
    </row>
    <row r="119" customFormat="false" ht="15" hidden="false" customHeight="true" outlineLevel="0" collapsed="false">
      <c r="A119" s="26"/>
      <c r="C119" s="22"/>
      <c r="D119" s="22"/>
      <c r="E119" s="22"/>
      <c r="F119" s="22"/>
    </row>
    <row r="120" customFormat="false" ht="15" hidden="false" customHeight="true" outlineLevel="0" collapsed="false">
      <c r="A120" s="26"/>
      <c r="C120" s="22"/>
      <c r="D120" s="22"/>
      <c r="E120" s="22"/>
      <c r="F120" s="22"/>
    </row>
    <row r="121" customFormat="false" ht="15" hidden="false" customHeight="true" outlineLevel="0" collapsed="false">
      <c r="A121" s="26"/>
      <c r="C121" s="22"/>
      <c r="D121" s="22"/>
      <c r="E121" s="22"/>
      <c r="F121" s="22"/>
    </row>
    <row r="122" customFormat="false" ht="15" hidden="false" customHeight="true" outlineLevel="0" collapsed="false">
      <c r="A122" s="26"/>
      <c r="C122" s="22"/>
      <c r="D122" s="22"/>
      <c r="E122" s="22"/>
      <c r="F122" s="22"/>
    </row>
    <row r="123" customFormat="false" ht="15" hidden="false" customHeight="true" outlineLevel="0" collapsed="false">
      <c r="A123" s="26"/>
      <c r="C123" s="22"/>
      <c r="D123" s="22"/>
      <c r="E123" s="22"/>
      <c r="F123" s="22"/>
    </row>
    <row r="124" customFormat="false" ht="15" hidden="false" customHeight="true" outlineLevel="0" collapsed="false">
      <c r="A124" s="26"/>
      <c r="C124" s="22"/>
      <c r="D124" s="22"/>
      <c r="E124" s="22"/>
      <c r="F124" s="22"/>
    </row>
    <row r="125" customFormat="false" ht="15" hidden="false" customHeight="true" outlineLevel="0" collapsed="false">
      <c r="A125" s="26"/>
      <c r="C125" s="22"/>
      <c r="D125" s="22"/>
      <c r="E125" s="22"/>
      <c r="F125" s="22"/>
    </row>
    <row r="126" customFormat="false" ht="15" hidden="false" customHeight="true" outlineLevel="0" collapsed="false">
      <c r="A126" s="26"/>
      <c r="C126" s="22"/>
      <c r="D126" s="22"/>
      <c r="E126" s="22"/>
      <c r="F126" s="22"/>
    </row>
    <row r="127" customFormat="false" ht="15" hidden="false" customHeight="true" outlineLevel="0" collapsed="false">
      <c r="A127" s="26"/>
      <c r="C127" s="22"/>
      <c r="D127" s="22"/>
      <c r="E127" s="22"/>
      <c r="F127" s="22"/>
    </row>
    <row r="128" customFormat="false" ht="15" hidden="false" customHeight="true" outlineLevel="0" collapsed="false">
      <c r="A128" s="26"/>
      <c r="C128" s="22"/>
      <c r="D128" s="22"/>
      <c r="E128" s="22"/>
      <c r="F128" s="22"/>
    </row>
    <row r="129" customFormat="false" ht="15" hidden="false" customHeight="true" outlineLevel="0" collapsed="false">
      <c r="A129" s="26"/>
      <c r="C129" s="22"/>
      <c r="D129" s="22"/>
      <c r="E129" s="22"/>
      <c r="F129" s="22"/>
    </row>
    <row r="130" customFormat="false" ht="15" hidden="false" customHeight="true" outlineLevel="0" collapsed="false">
      <c r="A130" s="26"/>
      <c r="C130" s="22"/>
      <c r="D130" s="22"/>
      <c r="E130" s="22"/>
      <c r="F130" s="22"/>
    </row>
    <row r="131" customFormat="false" ht="15" hidden="false" customHeight="true" outlineLevel="0" collapsed="false">
      <c r="A131" s="26"/>
      <c r="C131" s="22"/>
      <c r="D131" s="22"/>
      <c r="E131" s="22"/>
      <c r="F131" s="22"/>
    </row>
    <row r="132" customFormat="false" ht="15" hidden="false" customHeight="true" outlineLevel="0" collapsed="false">
      <c r="A132" s="26"/>
      <c r="C132" s="22"/>
      <c r="D132" s="22"/>
      <c r="E132" s="22"/>
      <c r="F132" s="22"/>
    </row>
    <row r="133" customFormat="false" ht="15" hidden="false" customHeight="true" outlineLevel="0" collapsed="false">
      <c r="A133" s="26"/>
      <c r="C133" s="22"/>
      <c r="D133" s="22"/>
      <c r="E133" s="22"/>
      <c r="F133" s="22"/>
    </row>
    <row r="134" customFormat="false" ht="15" hidden="false" customHeight="true" outlineLevel="0" collapsed="false">
      <c r="A134" s="26"/>
      <c r="C134" s="22"/>
      <c r="D134" s="22"/>
      <c r="E134" s="22"/>
      <c r="F134" s="22"/>
    </row>
    <row r="135" customFormat="false" ht="15" hidden="false" customHeight="true" outlineLevel="0" collapsed="false">
      <c r="A135" s="26"/>
      <c r="C135" s="22"/>
      <c r="D135" s="22"/>
      <c r="E135" s="22"/>
      <c r="F135" s="22"/>
    </row>
    <row r="136" customFormat="false" ht="15" hidden="false" customHeight="true" outlineLevel="0" collapsed="false">
      <c r="A136" s="26"/>
      <c r="C136" s="22"/>
      <c r="D136" s="22"/>
      <c r="E136" s="22"/>
      <c r="F136" s="22"/>
    </row>
    <row r="137" customFormat="false" ht="15" hidden="false" customHeight="true" outlineLevel="0" collapsed="false">
      <c r="A137" s="26"/>
      <c r="C137" s="22"/>
      <c r="D137" s="22"/>
      <c r="E137" s="22"/>
      <c r="F137" s="22"/>
    </row>
    <row r="138" customFormat="false" ht="15" hidden="false" customHeight="true" outlineLevel="0" collapsed="false">
      <c r="A138" s="26"/>
      <c r="C138" s="22"/>
      <c r="D138" s="22"/>
      <c r="E138" s="22"/>
      <c r="F138" s="22"/>
    </row>
    <row r="139" customFormat="false" ht="15" hidden="false" customHeight="true" outlineLevel="0" collapsed="false">
      <c r="A139" s="26"/>
      <c r="C139" s="22"/>
      <c r="D139" s="22"/>
      <c r="E139" s="22"/>
      <c r="F139" s="22"/>
    </row>
    <row r="140" customFormat="false" ht="15" hidden="false" customHeight="true" outlineLevel="0" collapsed="false">
      <c r="A140" s="26"/>
      <c r="C140" s="22"/>
      <c r="D140" s="22"/>
      <c r="E140" s="22"/>
      <c r="F140" s="22"/>
    </row>
    <row r="141" customFormat="false" ht="15" hidden="false" customHeight="true" outlineLevel="0" collapsed="false">
      <c r="A141" s="26"/>
      <c r="C141" s="22"/>
      <c r="D141" s="22"/>
      <c r="E141" s="22"/>
      <c r="F141" s="22"/>
    </row>
    <row r="142" customFormat="false" ht="15" hidden="false" customHeight="true" outlineLevel="0" collapsed="false">
      <c r="A142" s="26"/>
      <c r="C142" s="22"/>
      <c r="D142" s="22"/>
      <c r="E142" s="22"/>
      <c r="F142" s="22"/>
    </row>
    <row r="143" customFormat="false" ht="15" hidden="false" customHeight="true" outlineLevel="0" collapsed="false">
      <c r="A143" s="26"/>
      <c r="C143" s="22"/>
      <c r="D143" s="22"/>
      <c r="E143" s="22"/>
      <c r="F143" s="22"/>
    </row>
    <row r="144" customFormat="false" ht="15" hidden="false" customHeight="true" outlineLevel="0" collapsed="false">
      <c r="A144" s="26"/>
      <c r="C144" s="22"/>
      <c r="D144" s="22"/>
      <c r="E144" s="22"/>
      <c r="F144" s="22"/>
    </row>
    <row r="145" customFormat="false" ht="15" hidden="false" customHeight="true" outlineLevel="0" collapsed="false">
      <c r="A145" s="26"/>
      <c r="C145" s="22"/>
      <c r="D145" s="22"/>
      <c r="E145" s="22"/>
      <c r="F145" s="22"/>
    </row>
    <row r="146" customFormat="false" ht="15" hidden="false" customHeight="true" outlineLevel="0" collapsed="false">
      <c r="A146" s="26"/>
      <c r="C146" s="22"/>
      <c r="D146" s="22"/>
      <c r="E146" s="22"/>
      <c r="F146" s="22"/>
    </row>
    <row r="147" customFormat="false" ht="15" hidden="false" customHeight="true" outlineLevel="0" collapsed="false">
      <c r="A147" s="26"/>
      <c r="C147" s="22"/>
      <c r="D147" s="22"/>
      <c r="E147" s="22"/>
      <c r="F147" s="22"/>
    </row>
    <row r="148" customFormat="false" ht="15" hidden="false" customHeight="true" outlineLevel="0" collapsed="false">
      <c r="A148" s="26"/>
      <c r="C148" s="22"/>
      <c r="D148" s="22"/>
      <c r="E148" s="22"/>
      <c r="F148" s="22"/>
    </row>
    <row r="149" customFormat="false" ht="15" hidden="false" customHeight="true" outlineLevel="0" collapsed="false">
      <c r="A149" s="26"/>
      <c r="C149" s="22"/>
      <c r="D149" s="22"/>
      <c r="E149" s="22"/>
      <c r="F149" s="22"/>
    </row>
    <row r="150" customFormat="false" ht="15" hidden="false" customHeight="true" outlineLevel="0" collapsed="false">
      <c r="A150" s="26"/>
      <c r="C150" s="22"/>
      <c r="D150" s="22"/>
      <c r="E150" s="22"/>
      <c r="F150" s="22"/>
    </row>
    <row r="151" customFormat="false" ht="15" hidden="false" customHeight="true" outlineLevel="0" collapsed="false">
      <c r="A151" s="26"/>
      <c r="C151" s="22"/>
      <c r="D151" s="22"/>
      <c r="E151" s="22"/>
      <c r="F151" s="22"/>
    </row>
    <row r="152" customFormat="false" ht="15" hidden="false" customHeight="true" outlineLevel="0" collapsed="false">
      <c r="A152" s="26"/>
      <c r="C152" s="22"/>
      <c r="D152" s="22"/>
      <c r="E152" s="22"/>
      <c r="F152" s="22"/>
    </row>
    <row r="153" customFormat="false" ht="15" hidden="false" customHeight="true" outlineLevel="0" collapsed="false">
      <c r="A153" s="26"/>
      <c r="C153" s="22"/>
      <c r="D153" s="22"/>
      <c r="E153" s="22"/>
      <c r="F153" s="22"/>
    </row>
    <row r="154" customFormat="false" ht="15" hidden="false" customHeight="true" outlineLevel="0" collapsed="false">
      <c r="A154" s="26"/>
      <c r="C154" s="22"/>
      <c r="D154" s="22"/>
      <c r="E154" s="22"/>
      <c r="F154" s="22"/>
    </row>
    <row r="155" customFormat="false" ht="15" hidden="false" customHeight="true" outlineLevel="0" collapsed="false">
      <c r="A155" s="26"/>
      <c r="C155" s="22"/>
      <c r="D155" s="22"/>
      <c r="E155" s="22"/>
      <c r="F155" s="22"/>
    </row>
    <row r="156" customFormat="false" ht="15" hidden="false" customHeight="true" outlineLevel="0" collapsed="false">
      <c r="A156" s="26"/>
      <c r="C156" s="22"/>
      <c r="D156" s="22"/>
      <c r="E156" s="22"/>
      <c r="F156" s="22"/>
    </row>
    <row r="157" customFormat="false" ht="15" hidden="false" customHeight="true" outlineLevel="0" collapsed="false">
      <c r="A157" s="26"/>
      <c r="C157" s="22"/>
      <c r="D157" s="22"/>
      <c r="E157" s="22"/>
      <c r="F157" s="22"/>
    </row>
    <row r="158" customFormat="false" ht="15" hidden="false" customHeight="true" outlineLevel="0" collapsed="false">
      <c r="A158" s="26"/>
      <c r="C158" s="22"/>
      <c r="D158" s="22"/>
      <c r="E158" s="22"/>
      <c r="F158" s="22"/>
    </row>
    <row r="159" customFormat="false" ht="15" hidden="false" customHeight="true" outlineLevel="0" collapsed="false">
      <c r="A159" s="26"/>
      <c r="C159" s="22"/>
      <c r="D159" s="22"/>
      <c r="E159" s="22"/>
      <c r="F159" s="22"/>
    </row>
    <row r="160" customFormat="false" ht="15" hidden="false" customHeight="true" outlineLevel="0" collapsed="false">
      <c r="A160" s="26"/>
      <c r="C160" s="22"/>
      <c r="D160" s="22"/>
      <c r="E160" s="22"/>
      <c r="F160" s="22"/>
    </row>
    <row r="161" customFormat="false" ht="15" hidden="false" customHeight="true" outlineLevel="0" collapsed="false">
      <c r="A161" s="26"/>
      <c r="C161" s="22"/>
      <c r="D161" s="22"/>
      <c r="E161" s="22"/>
      <c r="F161" s="22"/>
    </row>
    <row r="162" customFormat="false" ht="15" hidden="false" customHeight="true" outlineLevel="0" collapsed="false">
      <c r="A162" s="26"/>
      <c r="C162" s="22"/>
      <c r="D162" s="22"/>
      <c r="E162" s="22"/>
      <c r="F162" s="22"/>
    </row>
    <row r="163" customFormat="false" ht="15" hidden="false" customHeight="true" outlineLevel="0" collapsed="false">
      <c r="A163" s="26"/>
      <c r="C163" s="22"/>
      <c r="D163" s="22"/>
      <c r="E163" s="22"/>
      <c r="F163" s="22"/>
    </row>
    <row r="164" customFormat="false" ht="15" hidden="false" customHeight="true" outlineLevel="0" collapsed="false">
      <c r="A164" s="26"/>
      <c r="C164" s="22"/>
      <c r="D164" s="22"/>
      <c r="E164" s="22"/>
      <c r="F164" s="22"/>
    </row>
    <row r="165" customFormat="false" ht="15" hidden="false" customHeight="true" outlineLevel="0" collapsed="false">
      <c r="A165" s="26"/>
      <c r="C165" s="22"/>
      <c r="D165" s="22"/>
      <c r="E165" s="22"/>
      <c r="F165" s="22"/>
    </row>
    <row r="166" customFormat="false" ht="15" hidden="false" customHeight="true" outlineLevel="0" collapsed="false">
      <c r="A166" s="26"/>
      <c r="C166" s="22"/>
      <c r="D166" s="22"/>
      <c r="E166" s="22"/>
      <c r="F166" s="22"/>
    </row>
    <row r="167" customFormat="false" ht="15" hidden="false" customHeight="true" outlineLevel="0" collapsed="false">
      <c r="A167" s="26"/>
      <c r="C167" s="22"/>
      <c r="D167" s="22"/>
      <c r="E167" s="22"/>
      <c r="F167" s="22"/>
    </row>
    <row r="168" customFormat="false" ht="15" hidden="false" customHeight="true" outlineLevel="0" collapsed="false">
      <c r="A168" s="26"/>
      <c r="C168" s="22"/>
      <c r="D168" s="22"/>
      <c r="E168" s="22"/>
      <c r="F168" s="22"/>
    </row>
    <row r="169" customFormat="false" ht="15" hidden="false" customHeight="true" outlineLevel="0" collapsed="false">
      <c r="A169" s="26"/>
      <c r="C169" s="22"/>
      <c r="D169" s="22"/>
      <c r="E169" s="22"/>
      <c r="F169" s="22"/>
    </row>
    <row r="170" customFormat="false" ht="15" hidden="false" customHeight="true" outlineLevel="0" collapsed="false">
      <c r="A170" s="26"/>
      <c r="C170" s="22"/>
      <c r="D170" s="22"/>
      <c r="E170" s="22"/>
      <c r="F170" s="22"/>
    </row>
    <row r="171" customFormat="false" ht="15" hidden="false" customHeight="true" outlineLevel="0" collapsed="false">
      <c r="A171" s="26"/>
      <c r="C171" s="22"/>
      <c r="D171" s="22"/>
      <c r="E171" s="22"/>
      <c r="F171" s="22"/>
    </row>
    <row r="172" customFormat="false" ht="15" hidden="false" customHeight="true" outlineLevel="0" collapsed="false">
      <c r="A172" s="26"/>
      <c r="C172" s="22"/>
      <c r="D172" s="22"/>
      <c r="E172" s="22"/>
      <c r="F172" s="22"/>
    </row>
    <row r="173" customFormat="false" ht="15" hidden="false" customHeight="true" outlineLevel="0" collapsed="false">
      <c r="A173" s="26"/>
      <c r="C173" s="22"/>
      <c r="D173" s="22"/>
      <c r="E173" s="22"/>
      <c r="F173" s="22"/>
    </row>
    <row r="174" customFormat="false" ht="15" hidden="false" customHeight="true" outlineLevel="0" collapsed="false">
      <c r="A174" s="26"/>
      <c r="C174" s="22"/>
      <c r="D174" s="22"/>
      <c r="E174" s="22"/>
      <c r="F174" s="22"/>
    </row>
    <row r="175" customFormat="false" ht="15" hidden="false" customHeight="true" outlineLevel="0" collapsed="false">
      <c r="A175" s="26"/>
      <c r="C175" s="22"/>
      <c r="D175" s="22"/>
      <c r="E175" s="22"/>
      <c r="F175" s="22"/>
    </row>
    <row r="176" customFormat="false" ht="15" hidden="false" customHeight="true" outlineLevel="0" collapsed="false">
      <c r="A176" s="26"/>
      <c r="C176" s="22"/>
      <c r="D176" s="22"/>
      <c r="E176" s="22"/>
      <c r="F176" s="22"/>
    </row>
    <row r="177" customFormat="false" ht="15" hidden="false" customHeight="true" outlineLevel="0" collapsed="false">
      <c r="A177" s="26"/>
      <c r="C177" s="22"/>
      <c r="D177" s="22"/>
      <c r="E177" s="22"/>
      <c r="F177" s="22"/>
    </row>
    <row r="178" customFormat="false" ht="15" hidden="false" customHeight="true" outlineLevel="0" collapsed="false">
      <c r="A178" s="26"/>
      <c r="C178" s="22"/>
      <c r="D178" s="22"/>
      <c r="E178" s="22"/>
      <c r="F178" s="22"/>
    </row>
    <row r="179" customFormat="false" ht="15" hidden="false" customHeight="true" outlineLevel="0" collapsed="false">
      <c r="A179" s="26"/>
      <c r="C179" s="22"/>
      <c r="D179" s="22"/>
      <c r="E179" s="22"/>
      <c r="F179" s="22"/>
    </row>
    <row r="180" customFormat="false" ht="15" hidden="false" customHeight="true" outlineLevel="0" collapsed="false">
      <c r="A180" s="26"/>
      <c r="C180" s="22"/>
      <c r="D180" s="22"/>
      <c r="E180" s="22"/>
      <c r="F180" s="22"/>
    </row>
    <row r="181" customFormat="false" ht="15" hidden="false" customHeight="true" outlineLevel="0" collapsed="false">
      <c r="A181" s="26"/>
      <c r="C181" s="22"/>
      <c r="D181" s="22"/>
      <c r="E181" s="22"/>
      <c r="F181" s="22"/>
    </row>
    <row r="182" customFormat="false" ht="15" hidden="false" customHeight="true" outlineLevel="0" collapsed="false">
      <c r="A182" s="26"/>
      <c r="C182" s="22"/>
      <c r="D182" s="22"/>
      <c r="E182" s="22"/>
      <c r="F182" s="22"/>
    </row>
    <row r="183" customFormat="false" ht="15" hidden="false" customHeight="true" outlineLevel="0" collapsed="false">
      <c r="A183" s="26"/>
      <c r="C183" s="22"/>
      <c r="D183" s="22"/>
      <c r="E183" s="22"/>
      <c r="F183" s="22"/>
    </row>
    <row r="184" customFormat="false" ht="15" hidden="false" customHeight="true" outlineLevel="0" collapsed="false">
      <c r="A184" s="26"/>
      <c r="C184" s="22"/>
      <c r="D184" s="22"/>
      <c r="E184" s="22"/>
      <c r="F184" s="22"/>
    </row>
    <row r="185" customFormat="false" ht="15" hidden="false" customHeight="true" outlineLevel="0" collapsed="false">
      <c r="A185" s="26"/>
      <c r="C185" s="22"/>
      <c r="D185" s="22"/>
      <c r="E185" s="22"/>
      <c r="F185" s="22"/>
    </row>
    <row r="186" customFormat="false" ht="15" hidden="false" customHeight="true" outlineLevel="0" collapsed="false">
      <c r="A186" s="26"/>
      <c r="C186" s="22"/>
      <c r="D186" s="22"/>
      <c r="E186" s="22"/>
      <c r="F186" s="22"/>
    </row>
    <row r="187" customFormat="false" ht="15" hidden="false" customHeight="true" outlineLevel="0" collapsed="false">
      <c r="A187" s="26"/>
      <c r="C187" s="22"/>
      <c r="D187" s="22"/>
      <c r="E187" s="22"/>
      <c r="F187" s="22"/>
    </row>
    <row r="188" customFormat="false" ht="15" hidden="false" customHeight="true" outlineLevel="0" collapsed="false">
      <c r="A188" s="26"/>
      <c r="C188" s="22"/>
      <c r="D188" s="22"/>
      <c r="E188" s="22"/>
      <c r="F188" s="22"/>
    </row>
    <row r="189" customFormat="false" ht="15" hidden="false" customHeight="true" outlineLevel="0" collapsed="false">
      <c r="A189" s="26"/>
      <c r="C189" s="22"/>
      <c r="D189" s="22"/>
      <c r="E189" s="22"/>
      <c r="F189" s="22"/>
    </row>
    <row r="190" customFormat="false" ht="15" hidden="false" customHeight="true" outlineLevel="0" collapsed="false">
      <c r="A190" s="26"/>
      <c r="C190" s="22"/>
      <c r="D190" s="22"/>
      <c r="E190" s="22"/>
      <c r="F190" s="22"/>
    </row>
    <row r="191" customFormat="false" ht="15" hidden="false" customHeight="true" outlineLevel="0" collapsed="false">
      <c r="A191" s="26"/>
      <c r="C191" s="22"/>
      <c r="D191" s="22"/>
      <c r="E191" s="22"/>
      <c r="F191" s="22"/>
    </row>
    <row r="192" customFormat="false" ht="15" hidden="false" customHeight="true" outlineLevel="0" collapsed="false">
      <c r="A192" s="26"/>
      <c r="C192" s="22"/>
      <c r="D192" s="22"/>
      <c r="E192" s="22"/>
      <c r="F192" s="22"/>
    </row>
    <row r="193" customFormat="false" ht="15" hidden="false" customHeight="true" outlineLevel="0" collapsed="false">
      <c r="A193" s="26"/>
      <c r="C193" s="22"/>
      <c r="D193" s="22"/>
      <c r="E193" s="22"/>
      <c r="F193" s="22"/>
    </row>
    <row r="194" customFormat="false" ht="15" hidden="false" customHeight="true" outlineLevel="0" collapsed="false">
      <c r="A194" s="26"/>
      <c r="C194" s="22"/>
      <c r="D194" s="22"/>
      <c r="E194" s="22"/>
      <c r="F194" s="22"/>
    </row>
    <row r="195" customFormat="false" ht="15" hidden="false" customHeight="true" outlineLevel="0" collapsed="false">
      <c r="A195" s="26"/>
      <c r="C195" s="22"/>
      <c r="D195" s="22"/>
      <c r="E195" s="22"/>
      <c r="F195" s="22"/>
    </row>
    <row r="196" customFormat="false" ht="15" hidden="false" customHeight="true" outlineLevel="0" collapsed="false">
      <c r="A196" s="26"/>
      <c r="C196" s="22"/>
      <c r="D196" s="22"/>
      <c r="E196" s="22"/>
      <c r="F196" s="22"/>
    </row>
    <row r="197" customFormat="false" ht="15" hidden="false" customHeight="true" outlineLevel="0" collapsed="false">
      <c r="A197" s="26"/>
      <c r="C197" s="22"/>
      <c r="D197" s="22"/>
      <c r="E197" s="22"/>
      <c r="F197" s="22"/>
    </row>
    <row r="198" customFormat="false" ht="15" hidden="false" customHeight="true" outlineLevel="0" collapsed="false">
      <c r="A198" s="26"/>
      <c r="C198" s="22"/>
      <c r="D198" s="22"/>
      <c r="E198" s="22"/>
      <c r="F198" s="22"/>
    </row>
    <row r="199" customFormat="false" ht="15" hidden="false" customHeight="true" outlineLevel="0" collapsed="false">
      <c r="A199" s="26"/>
      <c r="C199" s="22"/>
      <c r="D199" s="22"/>
      <c r="E199" s="22"/>
      <c r="F199" s="22"/>
    </row>
    <row r="200" customFormat="false" ht="15" hidden="false" customHeight="true" outlineLevel="0" collapsed="false">
      <c r="A200" s="26"/>
      <c r="C200" s="22"/>
      <c r="D200" s="22"/>
      <c r="E200" s="22"/>
      <c r="F200" s="22"/>
    </row>
    <row r="201" customFormat="false" ht="15" hidden="false" customHeight="true" outlineLevel="0" collapsed="false">
      <c r="A201" s="26"/>
      <c r="C201" s="22"/>
      <c r="D201" s="22"/>
      <c r="E201" s="22"/>
      <c r="F201" s="22"/>
    </row>
    <row r="202" customFormat="false" ht="15" hidden="false" customHeight="true" outlineLevel="0" collapsed="false">
      <c r="A202" s="26"/>
      <c r="C202" s="22"/>
      <c r="D202" s="22"/>
      <c r="E202" s="22"/>
      <c r="F202" s="22"/>
    </row>
    <row r="203" customFormat="false" ht="15" hidden="false" customHeight="true" outlineLevel="0" collapsed="false">
      <c r="A203" s="26"/>
      <c r="C203" s="22"/>
      <c r="D203" s="22"/>
      <c r="E203" s="22"/>
      <c r="F203" s="22"/>
    </row>
    <row r="204" customFormat="false" ht="15" hidden="false" customHeight="true" outlineLevel="0" collapsed="false">
      <c r="A204" s="26"/>
      <c r="C204" s="22"/>
      <c r="D204" s="22"/>
      <c r="E204" s="22"/>
      <c r="F204" s="22"/>
    </row>
    <row r="205" customFormat="false" ht="15" hidden="false" customHeight="true" outlineLevel="0" collapsed="false">
      <c r="A205" s="26"/>
      <c r="C205" s="22"/>
      <c r="D205" s="22"/>
      <c r="E205" s="22"/>
      <c r="F205" s="22"/>
    </row>
    <row r="206" customFormat="false" ht="15" hidden="false" customHeight="true" outlineLevel="0" collapsed="false">
      <c r="A206" s="26"/>
      <c r="C206" s="22"/>
      <c r="D206" s="22"/>
      <c r="E206" s="22"/>
      <c r="F206" s="22"/>
    </row>
    <row r="207" customFormat="false" ht="15" hidden="false" customHeight="true" outlineLevel="0" collapsed="false">
      <c r="A207" s="26"/>
      <c r="C207" s="22"/>
      <c r="D207" s="22"/>
      <c r="E207" s="22"/>
      <c r="F207" s="22"/>
    </row>
    <row r="208" customFormat="false" ht="15" hidden="false" customHeight="true" outlineLevel="0" collapsed="false">
      <c r="A208" s="26"/>
      <c r="C208" s="22"/>
      <c r="D208" s="22"/>
      <c r="E208" s="22"/>
      <c r="F208" s="22"/>
    </row>
    <row r="209" customFormat="false" ht="15" hidden="false" customHeight="true" outlineLevel="0" collapsed="false">
      <c r="A209" s="26"/>
      <c r="C209" s="22"/>
      <c r="D209" s="22"/>
      <c r="E209" s="22"/>
      <c r="F209" s="22"/>
    </row>
    <row r="210" customFormat="false" ht="15" hidden="false" customHeight="true" outlineLevel="0" collapsed="false">
      <c r="A210" s="26"/>
      <c r="C210" s="22"/>
      <c r="D210" s="22"/>
      <c r="E210" s="22"/>
      <c r="F210" s="22"/>
    </row>
    <row r="211" customFormat="false" ht="15" hidden="false" customHeight="true" outlineLevel="0" collapsed="false">
      <c r="A211" s="26"/>
      <c r="C211" s="22"/>
      <c r="D211" s="22"/>
      <c r="E211" s="22"/>
      <c r="F211" s="22"/>
    </row>
    <row r="212" customFormat="false" ht="15" hidden="false" customHeight="true" outlineLevel="0" collapsed="false">
      <c r="A212" s="26"/>
      <c r="C212" s="22"/>
      <c r="D212" s="22"/>
      <c r="E212" s="22"/>
      <c r="F212" s="22"/>
    </row>
    <row r="213" customFormat="false" ht="15" hidden="false" customHeight="true" outlineLevel="0" collapsed="false">
      <c r="A213" s="26"/>
      <c r="C213" s="22"/>
      <c r="D213" s="22"/>
      <c r="E213" s="22"/>
      <c r="F213" s="22"/>
    </row>
    <row r="214" customFormat="false" ht="15" hidden="false" customHeight="true" outlineLevel="0" collapsed="false">
      <c r="A214" s="26"/>
      <c r="C214" s="22"/>
      <c r="D214" s="22"/>
      <c r="E214" s="22"/>
      <c r="F214" s="22"/>
    </row>
    <row r="215" customFormat="false" ht="15" hidden="false" customHeight="true" outlineLevel="0" collapsed="false">
      <c r="A215" s="26"/>
      <c r="C215" s="22"/>
      <c r="D215" s="22"/>
      <c r="E215" s="22"/>
      <c r="F215" s="22"/>
    </row>
    <row r="216" customFormat="false" ht="15" hidden="false" customHeight="true" outlineLevel="0" collapsed="false">
      <c r="A216" s="26"/>
      <c r="C216" s="22"/>
      <c r="D216" s="22"/>
      <c r="E216" s="22"/>
      <c r="F216" s="22"/>
    </row>
    <row r="217" customFormat="false" ht="15" hidden="false" customHeight="true" outlineLevel="0" collapsed="false">
      <c r="A217" s="26"/>
      <c r="C217" s="22"/>
      <c r="D217" s="22"/>
      <c r="E217" s="22"/>
      <c r="F217" s="22"/>
    </row>
    <row r="218" customFormat="false" ht="15" hidden="false" customHeight="true" outlineLevel="0" collapsed="false">
      <c r="A218" s="26"/>
      <c r="C218" s="22"/>
      <c r="D218" s="22"/>
      <c r="E218" s="22"/>
      <c r="F218" s="22"/>
    </row>
    <row r="219" customFormat="false" ht="15" hidden="false" customHeight="true" outlineLevel="0" collapsed="false">
      <c r="A219" s="26"/>
      <c r="C219" s="22"/>
      <c r="D219" s="22"/>
      <c r="E219" s="22"/>
      <c r="F219" s="22"/>
    </row>
    <row r="220" customFormat="false" ht="15" hidden="false" customHeight="true" outlineLevel="0" collapsed="false">
      <c r="A220" s="26"/>
      <c r="C220" s="22"/>
      <c r="D220" s="22"/>
      <c r="E220" s="22"/>
      <c r="F220" s="22"/>
    </row>
    <row r="221" customFormat="false" ht="15" hidden="false" customHeight="true" outlineLevel="0" collapsed="false">
      <c r="A221" s="26"/>
      <c r="C221" s="22"/>
      <c r="D221" s="22"/>
      <c r="E221" s="22"/>
      <c r="F221" s="22"/>
    </row>
    <row r="222" customFormat="false" ht="15" hidden="false" customHeight="true" outlineLevel="0" collapsed="false">
      <c r="A222" s="26"/>
      <c r="C222" s="22"/>
      <c r="D222" s="22"/>
      <c r="E222" s="22"/>
      <c r="F222" s="22"/>
    </row>
    <row r="223" customFormat="false" ht="15" hidden="false" customHeight="true" outlineLevel="0" collapsed="false">
      <c r="A223" s="26"/>
      <c r="C223" s="22"/>
      <c r="D223" s="22"/>
      <c r="E223" s="22"/>
      <c r="F223" s="22"/>
    </row>
    <row r="224" customFormat="false" ht="15" hidden="false" customHeight="true" outlineLevel="0" collapsed="false">
      <c r="A224" s="26"/>
      <c r="C224" s="22"/>
      <c r="D224" s="22"/>
      <c r="E224" s="22"/>
      <c r="F224" s="22"/>
    </row>
    <row r="225" customFormat="false" ht="15" hidden="false" customHeight="true" outlineLevel="0" collapsed="false">
      <c r="A225" s="26"/>
      <c r="C225" s="22"/>
      <c r="D225" s="22"/>
      <c r="E225" s="22"/>
      <c r="F225" s="22"/>
    </row>
    <row r="226" customFormat="false" ht="15" hidden="false" customHeight="true" outlineLevel="0" collapsed="false">
      <c r="A226" s="26"/>
      <c r="C226" s="22"/>
      <c r="D226" s="22"/>
      <c r="E226" s="22"/>
      <c r="F226" s="22"/>
    </row>
    <row r="227" customFormat="false" ht="15" hidden="false" customHeight="true" outlineLevel="0" collapsed="false">
      <c r="A227" s="26"/>
      <c r="C227" s="22"/>
      <c r="D227" s="22"/>
      <c r="E227" s="22"/>
      <c r="F227" s="22"/>
    </row>
    <row r="228" customFormat="false" ht="15" hidden="false" customHeight="true" outlineLevel="0" collapsed="false">
      <c r="A228" s="26"/>
      <c r="C228" s="22"/>
      <c r="D228" s="22"/>
      <c r="E228" s="22"/>
      <c r="F228" s="22"/>
    </row>
    <row r="229" customFormat="false" ht="15" hidden="false" customHeight="true" outlineLevel="0" collapsed="false">
      <c r="A229" s="26"/>
      <c r="C229" s="22"/>
      <c r="D229" s="22"/>
      <c r="E229" s="22"/>
      <c r="F229" s="22"/>
    </row>
    <row r="230" customFormat="false" ht="15" hidden="false" customHeight="true" outlineLevel="0" collapsed="false">
      <c r="A230" s="26"/>
      <c r="C230" s="22"/>
      <c r="D230" s="22"/>
      <c r="E230" s="22"/>
      <c r="F230" s="22"/>
    </row>
    <row r="231" customFormat="false" ht="15" hidden="false" customHeight="true" outlineLevel="0" collapsed="false">
      <c r="A231" s="26"/>
      <c r="C231" s="22"/>
      <c r="D231" s="22"/>
      <c r="E231" s="22"/>
      <c r="F231" s="22"/>
    </row>
    <row r="232" customFormat="false" ht="15" hidden="false" customHeight="true" outlineLevel="0" collapsed="false">
      <c r="A232" s="26"/>
      <c r="C232" s="22"/>
      <c r="D232" s="22"/>
      <c r="E232" s="22"/>
      <c r="F232" s="22"/>
    </row>
    <row r="233" customFormat="false" ht="15" hidden="false" customHeight="true" outlineLevel="0" collapsed="false">
      <c r="A233" s="26"/>
      <c r="C233" s="22"/>
      <c r="D233" s="22"/>
      <c r="E233" s="22"/>
      <c r="F233" s="22"/>
    </row>
    <row r="234" customFormat="false" ht="15" hidden="false" customHeight="true" outlineLevel="0" collapsed="false">
      <c r="A234" s="26"/>
      <c r="C234" s="22"/>
      <c r="D234" s="22"/>
      <c r="E234" s="22"/>
      <c r="F234" s="22"/>
    </row>
    <row r="235" customFormat="false" ht="15" hidden="false" customHeight="true" outlineLevel="0" collapsed="false">
      <c r="A235" s="26"/>
      <c r="C235" s="22"/>
      <c r="D235" s="22"/>
      <c r="E235" s="22"/>
      <c r="F235" s="22"/>
    </row>
    <row r="236" customFormat="false" ht="15" hidden="false" customHeight="true" outlineLevel="0" collapsed="false">
      <c r="A236" s="26"/>
      <c r="C236" s="22"/>
      <c r="D236" s="22"/>
      <c r="E236" s="22"/>
      <c r="F236" s="22"/>
    </row>
    <row r="237" customFormat="false" ht="15" hidden="false" customHeight="true" outlineLevel="0" collapsed="false">
      <c r="A237" s="26"/>
      <c r="C237" s="22"/>
      <c r="D237" s="22"/>
      <c r="E237" s="22"/>
      <c r="F237" s="22"/>
    </row>
    <row r="238" customFormat="false" ht="15" hidden="false" customHeight="true" outlineLevel="0" collapsed="false">
      <c r="A238" s="26"/>
      <c r="C238" s="22"/>
      <c r="D238" s="22"/>
      <c r="E238" s="22"/>
      <c r="F238" s="22"/>
    </row>
    <row r="239" customFormat="false" ht="15" hidden="false" customHeight="true" outlineLevel="0" collapsed="false">
      <c r="A239" s="26"/>
      <c r="C239" s="22"/>
      <c r="D239" s="22"/>
      <c r="E239" s="22"/>
      <c r="F239" s="22"/>
    </row>
    <row r="240" customFormat="false" ht="15" hidden="false" customHeight="true" outlineLevel="0" collapsed="false">
      <c r="A240" s="26"/>
      <c r="C240" s="22"/>
      <c r="D240" s="22"/>
      <c r="E240" s="22"/>
      <c r="F240" s="22"/>
    </row>
    <row r="241" customFormat="false" ht="15" hidden="false" customHeight="true" outlineLevel="0" collapsed="false">
      <c r="A241" s="26"/>
      <c r="C241" s="22"/>
      <c r="D241" s="22"/>
      <c r="E241" s="22"/>
      <c r="F241" s="22"/>
    </row>
    <row r="242" customFormat="false" ht="15" hidden="false" customHeight="true" outlineLevel="0" collapsed="false">
      <c r="A242" s="26"/>
      <c r="C242" s="22"/>
      <c r="D242" s="22"/>
      <c r="E242" s="22"/>
      <c r="F242" s="22"/>
    </row>
    <row r="243" customFormat="false" ht="15" hidden="false" customHeight="true" outlineLevel="0" collapsed="false">
      <c r="A243" s="26"/>
      <c r="C243" s="22"/>
      <c r="D243" s="22"/>
      <c r="E243" s="22"/>
      <c r="F243" s="22"/>
    </row>
    <row r="244" customFormat="false" ht="15" hidden="false" customHeight="true" outlineLevel="0" collapsed="false">
      <c r="A244" s="26"/>
      <c r="C244" s="22"/>
      <c r="D244" s="22"/>
      <c r="E244" s="22"/>
      <c r="F244" s="22"/>
    </row>
    <row r="245" customFormat="false" ht="15" hidden="false" customHeight="true" outlineLevel="0" collapsed="false">
      <c r="A245" s="26"/>
      <c r="C245" s="22"/>
      <c r="D245" s="22"/>
      <c r="E245" s="22"/>
      <c r="F245" s="22"/>
    </row>
    <row r="246" customFormat="false" ht="15" hidden="false" customHeight="true" outlineLevel="0" collapsed="false">
      <c r="A246" s="26"/>
      <c r="C246" s="22"/>
      <c r="D246" s="22"/>
      <c r="E246" s="22"/>
      <c r="F246" s="22"/>
    </row>
    <row r="247" customFormat="false" ht="15" hidden="false" customHeight="true" outlineLevel="0" collapsed="false">
      <c r="A247" s="26"/>
      <c r="C247" s="22"/>
      <c r="D247" s="22"/>
      <c r="E247" s="22"/>
      <c r="F247" s="22"/>
    </row>
    <row r="248" customFormat="false" ht="15" hidden="false" customHeight="true" outlineLevel="0" collapsed="false">
      <c r="A248" s="26"/>
      <c r="C248" s="22"/>
      <c r="D248" s="22"/>
      <c r="E248" s="22"/>
      <c r="F248" s="22"/>
    </row>
    <row r="249" customFormat="false" ht="15" hidden="false" customHeight="true" outlineLevel="0" collapsed="false">
      <c r="A249" s="26"/>
      <c r="C249" s="22"/>
      <c r="D249" s="22"/>
      <c r="E249" s="22"/>
      <c r="F249" s="22"/>
    </row>
    <row r="250" customFormat="false" ht="15" hidden="false" customHeight="true" outlineLevel="0" collapsed="false">
      <c r="A250" s="26"/>
      <c r="C250" s="22"/>
      <c r="D250" s="22"/>
      <c r="E250" s="22"/>
      <c r="F250" s="22"/>
    </row>
    <row r="251" customFormat="false" ht="15" hidden="false" customHeight="true" outlineLevel="0" collapsed="false">
      <c r="A251" s="26"/>
      <c r="C251" s="22"/>
      <c r="D251" s="22"/>
      <c r="E251" s="22"/>
      <c r="F251" s="22"/>
    </row>
    <row r="252" customFormat="false" ht="15" hidden="false" customHeight="true" outlineLevel="0" collapsed="false">
      <c r="A252" s="26"/>
      <c r="C252" s="22"/>
      <c r="D252" s="22"/>
      <c r="E252" s="22"/>
      <c r="F252" s="22"/>
    </row>
    <row r="253" customFormat="false" ht="15" hidden="false" customHeight="true" outlineLevel="0" collapsed="false">
      <c r="A253" s="26"/>
      <c r="C253" s="22"/>
      <c r="D253" s="22"/>
      <c r="E253" s="22"/>
      <c r="F253" s="22"/>
    </row>
    <row r="254" customFormat="false" ht="15" hidden="false" customHeight="true" outlineLevel="0" collapsed="false">
      <c r="A254" s="26"/>
      <c r="C254" s="22"/>
      <c r="D254" s="22"/>
      <c r="E254" s="22"/>
      <c r="F254" s="22"/>
    </row>
    <row r="255" customFormat="false" ht="15" hidden="false" customHeight="true" outlineLevel="0" collapsed="false">
      <c r="A255" s="26"/>
      <c r="C255" s="22"/>
      <c r="D255" s="22"/>
      <c r="E255" s="22"/>
      <c r="F255" s="22"/>
    </row>
    <row r="256" customFormat="false" ht="15" hidden="false" customHeight="true" outlineLevel="0" collapsed="false">
      <c r="A256" s="26"/>
      <c r="C256" s="22"/>
      <c r="D256" s="22"/>
      <c r="E256" s="22"/>
      <c r="F256" s="22"/>
    </row>
    <row r="257" customFormat="false" ht="15" hidden="false" customHeight="true" outlineLevel="0" collapsed="false">
      <c r="A257" s="26"/>
      <c r="C257" s="22"/>
      <c r="D257" s="22"/>
      <c r="E257" s="22"/>
      <c r="F257" s="22"/>
    </row>
    <row r="258" customFormat="false" ht="15" hidden="false" customHeight="true" outlineLevel="0" collapsed="false">
      <c r="A258" s="26"/>
      <c r="C258" s="22"/>
      <c r="D258" s="22"/>
      <c r="E258" s="22"/>
      <c r="F258" s="22"/>
    </row>
    <row r="259" customFormat="false" ht="15" hidden="false" customHeight="true" outlineLevel="0" collapsed="false">
      <c r="A259" s="26"/>
      <c r="C259" s="22"/>
      <c r="D259" s="22"/>
      <c r="E259" s="22"/>
      <c r="F259" s="22"/>
    </row>
    <row r="260" customFormat="false" ht="15" hidden="false" customHeight="true" outlineLevel="0" collapsed="false">
      <c r="A260" s="26"/>
      <c r="C260" s="22"/>
      <c r="D260" s="22"/>
      <c r="E260" s="22"/>
      <c r="F260" s="22"/>
    </row>
    <row r="261" customFormat="false" ht="15" hidden="false" customHeight="true" outlineLevel="0" collapsed="false">
      <c r="A261" s="26"/>
      <c r="C261" s="22"/>
      <c r="D261" s="22"/>
      <c r="E261" s="22"/>
      <c r="F261" s="22"/>
    </row>
    <row r="262" customFormat="false" ht="15" hidden="false" customHeight="true" outlineLevel="0" collapsed="false">
      <c r="A262" s="26"/>
      <c r="C262" s="22"/>
      <c r="D262" s="22"/>
      <c r="E262" s="22"/>
      <c r="F262" s="22"/>
    </row>
    <row r="263" customFormat="false" ht="15" hidden="false" customHeight="true" outlineLevel="0" collapsed="false">
      <c r="A263" s="26"/>
      <c r="C263" s="22"/>
      <c r="D263" s="22"/>
      <c r="E263" s="22"/>
      <c r="F263" s="22"/>
    </row>
    <row r="264" customFormat="false" ht="15" hidden="false" customHeight="true" outlineLevel="0" collapsed="false">
      <c r="A264" s="26"/>
      <c r="C264" s="22"/>
      <c r="D264" s="22"/>
      <c r="E264" s="22"/>
      <c r="F264" s="22"/>
    </row>
    <row r="265" customFormat="false" ht="15" hidden="false" customHeight="true" outlineLevel="0" collapsed="false">
      <c r="A265" s="26"/>
      <c r="C265" s="22"/>
      <c r="D265" s="22"/>
      <c r="E265" s="22"/>
      <c r="F265" s="22"/>
    </row>
    <row r="266" customFormat="false" ht="15" hidden="false" customHeight="true" outlineLevel="0" collapsed="false">
      <c r="A266" s="26"/>
      <c r="C266" s="22"/>
      <c r="D266" s="22"/>
      <c r="E266" s="22"/>
      <c r="F266" s="22"/>
    </row>
    <row r="267" customFormat="false" ht="15" hidden="false" customHeight="true" outlineLevel="0" collapsed="false">
      <c r="A267" s="26"/>
      <c r="C267" s="22"/>
      <c r="D267" s="22"/>
      <c r="E267" s="22"/>
      <c r="F267" s="22"/>
    </row>
    <row r="268" customFormat="false" ht="15" hidden="false" customHeight="true" outlineLevel="0" collapsed="false">
      <c r="A268" s="26"/>
      <c r="C268" s="22"/>
      <c r="D268" s="22"/>
      <c r="E268" s="22"/>
      <c r="F268" s="22"/>
    </row>
    <row r="269" customFormat="false" ht="15" hidden="false" customHeight="true" outlineLevel="0" collapsed="false">
      <c r="A269" s="26"/>
      <c r="C269" s="22"/>
      <c r="D269" s="22"/>
      <c r="E269" s="22"/>
      <c r="F269" s="22"/>
    </row>
    <row r="270" customFormat="false" ht="15" hidden="false" customHeight="true" outlineLevel="0" collapsed="false">
      <c r="A270" s="26"/>
      <c r="C270" s="22"/>
      <c r="D270" s="22"/>
      <c r="E270" s="22"/>
      <c r="F270" s="22"/>
    </row>
    <row r="271" customFormat="false" ht="15" hidden="false" customHeight="true" outlineLevel="0" collapsed="false">
      <c r="A271" s="26"/>
      <c r="C271" s="22"/>
      <c r="D271" s="22"/>
      <c r="E271" s="22"/>
      <c r="F271" s="22"/>
    </row>
    <row r="272" customFormat="false" ht="15" hidden="false" customHeight="true" outlineLevel="0" collapsed="false">
      <c r="A272" s="26"/>
      <c r="C272" s="22"/>
      <c r="D272" s="22"/>
      <c r="E272" s="22"/>
      <c r="F272" s="22"/>
    </row>
    <row r="273" customFormat="false" ht="15" hidden="false" customHeight="true" outlineLevel="0" collapsed="false">
      <c r="A273" s="26"/>
      <c r="C273" s="22"/>
      <c r="D273" s="22"/>
      <c r="E273" s="22"/>
      <c r="F273" s="22"/>
    </row>
    <row r="274" customFormat="false" ht="15" hidden="false" customHeight="true" outlineLevel="0" collapsed="false">
      <c r="A274" s="26"/>
      <c r="C274" s="22"/>
      <c r="D274" s="22"/>
      <c r="E274" s="22"/>
      <c r="F274" s="22"/>
    </row>
    <row r="275" customFormat="false" ht="15" hidden="false" customHeight="true" outlineLevel="0" collapsed="false">
      <c r="A275" s="26"/>
      <c r="C275" s="22"/>
      <c r="D275" s="22"/>
      <c r="E275" s="22"/>
      <c r="F275" s="22"/>
    </row>
    <row r="276" customFormat="false" ht="15" hidden="false" customHeight="true" outlineLevel="0" collapsed="false">
      <c r="A276" s="26"/>
      <c r="C276" s="22"/>
      <c r="D276" s="22"/>
      <c r="E276" s="22"/>
      <c r="F276" s="22"/>
    </row>
    <row r="277" customFormat="false" ht="15" hidden="false" customHeight="true" outlineLevel="0" collapsed="false">
      <c r="A277" s="26"/>
      <c r="C277" s="22"/>
      <c r="D277" s="22"/>
      <c r="E277" s="22"/>
      <c r="F277" s="22"/>
    </row>
    <row r="278" customFormat="false" ht="15" hidden="false" customHeight="true" outlineLevel="0" collapsed="false">
      <c r="A278" s="26"/>
      <c r="C278" s="22"/>
      <c r="D278" s="22"/>
      <c r="E278" s="22"/>
      <c r="F278" s="22"/>
    </row>
    <row r="279" customFormat="false" ht="15" hidden="false" customHeight="true" outlineLevel="0" collapsed="false">
      <c r="A279" s="26"/>
      <c r="C279" s="22"/>
      <c r="D279" s="22"/>
      <c r="E279" s="22"/>
      <c r="F279" s="22"/>
    </row>
    <row r="280" customFormat="false" ht="15" hidden="false" customHeight="true" outlineLevel="0" collapsed="false">
      <c r="A280" s="26"/>
      <c r="C280" s="22"/>
      <c r="D280" s="22"/>
      <c r="E280" s="22"/>
      <c r="F280" s="22"/>
    </row>
    <row r="281" customFormat="false" ht="15" hidden="false" customHeight="true" outlineLevel="0" collapsed="false">
      <c r="A281" s="26"/>
      <c r="C281" s="22"/>
      <c r="D281" s="22"/>
      <c r="E281" s="22"/>
      <c r="F281" s="22"/>
    </row>
    <row r="282" customFormat="false" ht="15" hidden="false" customHeight="true" outlineLevel="0" collapsed="false">
      <c r="A282" s="26"/>
      <c r="C282" s="22"/>
      <c r="D282" s="22"/>
      <c r="E282" s="22"/>
      <c r="F282" s="22"/>
    </row>
    <row r="283" customFormat="false" ht="15" hidden="false" customHeight="true" outlineLevel="0" collapsed="false">
      <c r="A283" s="26"/>
      <c r="C283" s="22"/>
      <c r="D283" s="22"/>
      <c r="E283" s="22"/>
      <c r="F283" s="22"/>
    </row>
    <row r="284" customFormat="false" ht="15" hidden="false" customHeight="true" outlineLevel="0" collapsed="false">
      <c r="A284" s="26"/>
      <c r="C284" s="22"/>
      <c r="D284" s="22"/>
      <c r="E284" s="22"/>
      <c r="F284" s="22"/>
    </row>
    <row r="285" customFormat="false" ht="15" hidden="false" customHeight="true" outlineLevel="0" collapsed="false">
      <c r="A285" s="26"/>
      <c r="C285" s="22"/>
      <c r="D285" s="22"/>
      <c r="E285" s="22"/>
      <c r="F285" s="22"/>
    </row>
    <row r="286" customFormat="false" ht="15" hidden="false" customHeight="true" outlineLevel="0" collapsed="false">
      <c r="A286" s="26"/>
      <c r="C286" s="22"/>
      <c r="D286" s="22"/>
      <c r="E286" s="22"/>
      <c r="F286" s="22"/>
    </row>
    <row r="287" customFormat="false" ht="15" hidden="false" customHeight="true" outlineLevel="0" collapsed="false">
      <c r="A287" s="26"/>
      <c r="C287" s="22"/>
      <c r="D287" s="22"/>
      <c r="E287" s="22"/>
      <c r="F287" s="22"/>
    </row>
    <row r="288" customFormat="false" ht="15" hidden="false" customHeight="true" outlineLevel="0" collapsed="false">
      <c r="A288" s="26"/>
      <c r="C288" s="22"/>
      <c r="D288" s="22"/>
      <c r="E288" s="22"/>
      <c r="F288" s="22"/>
    </row>
    <row r="289" customFormat="false" ht="15" hidden="false" customHeight="true" outlineLevel="0" collapsed="false">
      <c r="A289" s="26"/>
      <c r="C289" s="22"/>
      <c r="D289" s="22"/>
      <c r="E289" s="22"/>
      <c r="F289" s="22"/>
    </row>
    <row r="290" customFormat="false" ht="15" hidden="false" customHeight="true" outlineLevel="0" collapsed="false">
      <c r="A290" s="26"/>
      <c r="C290" s="22"/>
      <c r="D290" s="22"/>
      <c r="E290" s="22"/>
      <c r="F290" s="22"/>
    </row>
    <row r="291" customFormat="false" ht="15" hidden="false" customHeight="true" outlineLevel="0" collapsed="false">
      <c r="A291" s="26"/>
      <c r="C291" s="22"/>
      <c r="D291" s="22"/>
      <c r="E291" s="22"/>
      <c r="F291" s="22"/>
    </row>
    <row r="292" customFormat="false" ht="15" hidden="false" customHeight="true" outlineLevel="0" collapsed="false">
      <c r="A292" s="26"/>
      <c r="C292" s="22"/>
      <c r="D292" s="22"/>
      <c r="E292" s="22"/>
      <c r="F292" s="22"/>
    </row>
    <row r="293" customFormat="false" ht="15" hidden="false" customHeight="true" outlineLevel="0" collapsed="false">
      <c r="A293" s="26"/>
      <c r="C293" s="22"/>
      <c r="D293" s="22"/>
      <c r="E293" s="22"/>
      <c r="F293" s="22"/>
    </row>
    <row r="294" customFormat="false" ht="15" hidden="false" customHeight="true" outlineLevel="0" collapsed="false">
      <c r="A294" s="26"/>
      <c r="C294" s="22"/>
      <c r="D294" s="22"/>
      <c r="E294" s="22"/>
      <c r="F294" s="22"/>
    </row>
    <row r="295" customFormat="false" ht="15" hidden="false" customHeight="true" outlineLevel="0" collapsed="false">
      <c r="A295" s="26"/>
      <c r="C295" s="22"/>
      <c r="D295" s="22"/>
      <c r="E295" s="22"/>
      <c r="F295" s="22"/>
    </row>
    <row r="296" customFormat="false" ht="15" hidden="false" customHeight="true" outlineLevel="0" collapsed="false">
      <c r="A296" s="26"/>
      <c r="C296" s="22"/>
      <c r="D296" s="22"/>
      <c r="E296" s="22"/>
      <c r="F296" s="22"/>
    </row>
    <row r="297" customFormat="false" ht="15" hidden="false" customHeight="true" outlineLevel="0" collapsed="false">
      <c r="A297" s="26"/>
      <c r="C297" s="22"/>
      <c r="D297" s="22"/>
      <c r="E297" s="22"/>
      <c r="F297" s="22"/>
    </row>
    <row r="298" customFormat="false" ht="15" hidden="false" customHeight="true" outlineLevel="0" collapsed="false">
      <c r="A298" s="26"/>
      <c r="C298" s="22"/>
      <c r="D298" s="22"/>
      <c r="E298" s="22"/>
      <c r="F298" s="22"/>
    </row>
    <row r="299" customFormat="false" ht="15" hidden="false" customHeight="true" outlineLevel="0" collapsed="false">
      <c r="A299" s="26"/>
      <c r="C299" s="22"/>
      <c r="D299" s="22"/>
      <c r="E299" s="22"/>
      <c r="F299" s="22"/>
    </row>
    <row r="300" customFormat="false" ht="15" hidden="false" customHeight="true" outlineLevel="0" collapsed="false">
      <c r="A300" s="26"/>
      <c r="C300" s="22"/>
      <c r="D300" s="22"/>
      <c r="E300" s="22"/>
      <c r="F300" s="22"/>
    </row>
    <row r="301" customFormat="false" ht="15" hidden="false" customHeight="true" outlineLevel="0" collapsed="false">
      <c r="A301" s="26"/>
      <c r="C301" s="22"/>
      <c r="D301" s="22"/>
      <c r="E301" s="22"/>
      <c r="F301" s="22"/>
    </row>
    <row r="302" customFormat="false" ht="15" hidden="false" customHeight="true" outlineLevel="0" collapsed="false">
      <c r="A302" s="26"/>
      <c r="C302" s="22"/>
      <c r="D302" s="22"/>
      <c r="E302" s="22"/>
      <c r="F302" s="22"/>
    </row>
    <row r="303" customFormat="false" ht="15" hidden="false" customHeight="true" outlineLevel="0" collapsed="false">
      <c r="A303" s="26"/>
      <c r="C303" s="22"/>
      <c r="D303" s="22"/>
      <c r="E303" s="22"/>
      <c r="F303" s="22"/>
    </row>
    <row r="304" customFormat="false" ht="15" hidden="false" customHeight="true" outlineLevel="0" collapsed="false">
      <c r="A304" s="26"/>
      <c r="C304" s="22"/>
      <c r="D304" s="22"/>
      <c r="E304" s="22"/>
      <c r="F304" s="22"/>
    </row>
    <row r="305" customFormat="false" ht="15" hidden="false" customHeight="true" outlineLevel="0" collapsed="false">
      <c r="A305" s="26"/>
      <c r="C305" s="22"/>
      <c r="D305" s="22"/>
      <c r="E305" s="22"/>
      <c r="F305" s="22"/>
    </row>
    <row r="306" customFormat="false" ht="15" hidden="false" customHeight="true" outlineLevel="0" collapsed="false">
      <c r="A306" s="26"/>
      <c r="C306" s="22"/>
      <c r="D306" s="22"/>
      <c r="E306" s="22"/>
      <c r="F306" s="22"/>
    </row>
    <row r="307" customFormat="false" ht="15" hidden="false" customHeight="true" outlineLevel="0" collapsed="false">
      <c r="A307" s="26"/>
      <c r="C307" s="22"/>
      <c r="D307" s="22"/>
      <c r="E307" s="22"/>
      <c r="F307" s="22"/>
    </row>
    <row r="308" customFormat="false" ht="15" hidden="false" customHeight="true" outlineLevel="0" collapsed="false">
      <c r="A308" s="26"/>
      <c r="C308" s="22"/>
      <c r="D308" s="22"/>
      <c r="E308" s="22"/>
      <c r="F308" s="22"/>
    </row>
    <row r="309" customFormat="false" ht="15" hidden="false" customHeight="true" outlineLevel="0" collapsed="false">
      <c r="A309" s="26"/>
      <c r="C309" s="22"/>
      <c r="D309" s="22"/>
      <c r="E309" s="22"/>
      <c r="F309" s="22"/>
    </row>
    <row r="310" customFormat="false" ht="15" hidden="false" customHeight="true" outlineLevel="0" collapsed="false">
      <c r="A310" s="26"/>
      <c r="C310" s="22"/>
      <c r="D310" s="22"/>
      <c r="E310" s="22"/>
      <c r="F310" s="22"/>
    </row>
    <row r="311" customFormat="false" ht="15" hidden="false" customHeight="true" outlineLevel="0" collapsed="false">
      <c r="A311" s="26"/>
      <c r="C311" s="22"/>
      <c r="D311" s="22"/>
      <c r="E311" s="22"/>
      <c r="F311" s="22"/>
    </row>
    <row r="312" customFormat="false" ht="15" hidden="false" customHeight="true" outlineLevel="0" collapsed="false">
      <c r="A312" s="26"/>
      <c r="C312" s="22"/>
      <c r="D312" s="22"/>
      <c r="E312" s="22"/>
      <c r="F312" s="22"/>
    </row>
    <row r="313" customFormat="false" ht="15" hidden="false" customHeight="true" outlineLevel="0" collapsed="false">
      <c r="A313" s="26"/>
      <c r="C313" s="22"/>
      <c r="D313" s="22"/>
      <c r="E313" s="22"/>
      <c r="F313" s="22"/>
    </row>
    <row r="314" customFormat="false" ht="15" hidden="false" customHeight="true" outlineLevel="0" collapsed="false">
      <c r="A314" s="26"/>
      <c r="C314" s="22"/>
      <c r="D314" s="22"/>
      <c r="E314" s="22"/>
      <c r="F314" s="22"/>
    </row>
    <row r="315" customFormat="false" ht="15" hidden="false" customHeight="true" outlineLevel="0" collapsed="false">
      <c r="A315" s="26"/>
      <c r="C315" s="22"/>
      <c r="D315" s="22"/>
      <c r="E315" s="22"/>
      <c r="F315" s="22"/>
    </row>
    <row r="316" customFormat="false" ht="15" hidden="false" customHeight="true" outlineLevel="0" collapsed="false">
      <c r="A316" s="26"/>
      <c r="C316" s="22"/>
      <c r="D316" s="22"/>
      <c r="E316" s="22"/>
      <c r="F316" s="22"/>
    </row>
    <row r="317" customFormat="false" ht="15" hidden="false" customHeight="true" outlineLevel="0" collapsed="false">
      <c r="A317" s="26"/>
      <c r="C317" s="22"/>
      <c r="D317" s="22"/>
      <c r="E317" s="22"/>
      <c r="F317" s="22"/>
    </row>
    <row r="318" customFormat="false" ht="15" hidden="false" customHeight="true" outlineLevel="0" collapsed="false">
      <c r="A318" s="26"/>
      <c r="C318" s="22"/>
      <c r="D318" s="22"/>
      <c r="E318" s="22"/>
      <c r="F318" s="22"/>
    </row>
    <row r="319" customFormat="false" ht="15" hidden="false" customHeight="true" outlineLevel="0" collapsed="false">
      <c r="A319" s="26"/>
      <c r="C319" s="22"/>
      <c r="D319" s="22"/>
      <c r="E319" s="22"/>
      <c r="F319" s="22"/>
    </row>
    <row r="320" customFormat="false" ht="15" hidden="false" customHeight="true" outlineLevel="0" collapsed="false">
      <c r="A320" s="26"/>
      <c r="C320" s="22"/>
      <c r="D320" s="22"/>
      <c r="E320" s="22"/>
      <c r="F320" s="22"/>
    </row>
    <row r="321" customFormat="false" ht="15" hidden="false" customHeight="true" outlineLevel="0" collapsed="false">
      <c r="A321" s="26"/>
      <c r="C321" s="22"/>
      <c r="D321" s="22"/>
      <c r="E321" s="22"/>
      <c r="F321" s="22"/>
    </row>
    <row r="322" customFormat="false" ht="15" hidden="false" customHeight="true" outlineLevel="0" collapsed="false">
      <c r="A322" s="26"/>
      <c r="C322" s="22"/>
      <c r="D322" s="22"/>
      <c r="E322" s="22"/>
      <c r="F322" s="22"/>
    </row>
    <row r="323" customFormat="false" ht="15" hidden="false" customHeight="true" outlineLevel="0" collapsed="false">
      <c r="A323" s="26"/>
      <c r="C323" s="22"/>
      <c r="D323" s="22"/>
      <c r="E323" s="22"/>
      <c r="F323" s="22"/>
    </row>
    <row r="324" customFormat="false" ht="15" hidden="false" customHeight="true" outlineLevel="0" collapsed="false">
      <c r="A324" s="26"/>
      <c r="C324" s="22"/>
      <c r="D324" s="22"/>
      <c r="E324" s="22"/>
      <c r="F324" s="22"/>
    </row>
    <row r="325" customFormat="false" ht="15" hidden="false" customHeight="true" outlineLevel="0" collapsed="false">
      <c r="A325" s="26"/>
      <c r="C325" s="22"/>
      <c r="D325" s="22"/>
      <c r="E325" s="22"/>
      <c r="F325" s="22"/>
    </row>
    <row r="326" customFormat="false" ht="15" hidden="false" customHeight="true" outlineLevel="0" collapsed="false">
      <c r="A326" s="26"/>
      <c r="C326" s="22"/>
      <c r="D326" s="22"/>
      <c r="E326" s="22"/>
      <c r="F326" s="22"/>
    </row>
    <row r="327" customFormat="false" ht="15" hidden="false" customHeight="true" outlineLevel="0" collapsed="false">
      <c r="A327" s="26"/>
      <c r="C327" s="22"/>
      <c r="D327" s="22"/>
      <c r="E327" s="22"/>
      <c r="F327" s="22"/>
    </row>
    <row r="328" customFormat="false" ht="15" hidden="false" customHeight="true" outlineLevel="0" collapsed="false">
      <c r="A328" s="26"/>
      <c r="C328" s="22"/>
      <c r="D328" s="22"/>
      <c r="E328" s="22"/>
      <c r="F328" s="22"/>
    </row>
    <row r="329" customFormat="false" ht="15" hidden="false" customHeight="true" outlineLevel="0" collapsed="false">
      <c r="A329" s="26"/>
      <c r="C329" s="22"/>
      <c r="D329" s="22"/>
      <c r="E329" s="22"/>
      <c r="F329" s="22"/>
    </row>
    <row r="330" customFormat="false" ht="15" hidden="false" customHeight="true" outlineLevel="0" collapsed="false">
      <c r="A330" s="26"/>
      <c r="C330" s="22"/>
      <c r="D330" s="22"/>
      <c r="E330" s="22"/>
      <c r="F330" s="22"/>
    </row>
    <row r="331" customFormat="false" ht="15" hidden="false" customHeight="true" outlineLevel="0" collapsed="false">
      <c r="A331" s="26"/>
      <c r="C331" s="22"/>
      <c r="D331" s="22"/>
      <c r="E331" s="22"/>
      <c r="F331" s="22"/>
    </row>
    <row r="332" customFormat="false" ht="15" hidden="false" customHeight="true" outlineLevel="0" collapsed="false">
      <c r="A332" s="26"/>
      <c r="C332" s="22"/>
      <c r="D332" s="22"/>
      <c r="E332" s="22"/>
      <c r="F332" s="22"/>
    </row>
    <row r="333" customFormat="false" ht="15" hidden="false" customHeight="true" outlineLevel="0" collapsed="false">
      <c r="A333" s="26"/>
      <c r="C333" s="22"/>
      <c r="D333" s="22"/>
      <c r="E333" s="22"/>
      <c r="F333" s="22"/>
    </row>
    <row r="334" customFormat="false" ht="15" hidden="false" customHeight="true" outlineLevel="0" collapsed="false">
      <c r="A334" s="26"/>
      <c r="C334" s="22"/>
      <c r="D334" s="22"/>
      <c r="E334" s="22"/>
      <c r="F334" s="22"/>
    </row>
    <row r="335" customFormat="false" ht="15" hidden="false" customHeight="true" outlineLevel="0" collapsed="false">
      <c r="A335" s="26"/>
      <c r="C335" s="22"/>
      <c r="D335" s="22"/>
      <c r="E335" s="22"/>
      <c r="F335" s="22"/>
    </row>
    <row r="336" customFormat="false" ht="15" hidden="false" customHeight="true" outlineLevel="0" collapsed="false">
      <c r="A336" s="26"/>
      <c r="C336" s="22"/>
      <c r="D336" s="22"/>
      <c r="E336" s="22"/>
      <c r="F336" s="22"/>
    </row>
    <row r="337" customFormat="false" ht="15" hidden="false" customHeight="true" outlineLevel="0" collapsed="false">
      <c r="A337" s="26"/>
      <c r="C337" s="22"/>
      <c r="D337" s="22"/>
      <c r="E337" s="22"/>
      <c r="F337" s="22"/>
    </row>
    <row r="338" customFormat="false" ht="15" hidden="false" customHeight="true" outlineLevel="0" collapsed="false">
      <c r="A338" s="26"/>
      <c r="C338" s="22"/>
      <c r="D338" s="22"/>
      <c r="E338" s="22"/>
      <c r="F338" s="22"/>
    </row>
    <row r="339" customFormat="false" ht="15" hidden="false" customHeight="true" outlineLevel="0" collapsed="false">
      <c r="A339" s="26"/>
      <c r="C339" s="22"/>
      <c r="D339" s="22"/>
      <c r="E339" s="22"/>
      <c r="F339" s="22"/>
    </row>
    <row r="340" customFormat="false" ht="15" hidden="false" customHeight="true" outlineLevel="0" collapsed="false">
      <c r="A340" s="26"/>
      <c r="C340" s="22"/>
      <c r="D340" s="22"/>
      <c r="E340" s="22"/>
      <c r="F340" s="22"/>
    </row>
    <row r="341" customFormat="false" ht="15" hidden="false" customHeight="true" outlineLevel="0" collapsed="false">
      <c r="A341" s="26"/>
      <c r="C341" s="22"/>
      <c r="D341" s="22"/>
      <c r="E341" s="22"/>
      <c r="F341" s="22"/>
    </row>
    <row r="342" customFormat="false" ht="15" hidden="false" customHeight="true" outlineLevel="0" collapsed="false">
      <c r="A342" s="26"/>
      <c r="C342" s="22"/>
      <c r="D342" s="22"/>
      <c r="E342" s="22"/>
      <c r="F342" s="22"/>
    </row>
    <row r="343" customFormat="false" ht="15" hidden="false" customHeight="true" outlineLevel="0" collapsed="false">
      <c r="A343" s="26"/>
      <c r="C343" s="22"/>
      <c r="D343" s="22"/>
      <c r="E343" s="22"/>
      <c r="F343" s="22"/>
    </row>
    <row r="344" customFormat="false" ht="15" hidden="false" customHeight="true" outlineLevel="0" collapsed="false">
      <c r="A344" s="26"/>
      <c r="C344" s="22"/>
      <c r="D344" s="22"/>
      <c r="E344" s="22"/>
      <c r="F344" s="22"/>
    </row>
    <row r="345" customFormat="false" ht="15" hidden="false" customHeight="true" outlineLevel="0" collapsed="false">
      <c r="A345" s="26"/>
      <c r="C345" s="22"/>
      <c r="D345" s="22"/>
      <c r="E345" s="22"/>
      <c r="F345" s="22"/>
    </row>
    <row r="346" customFormat="false" ht="15" hidden="false" customHeight="true" outlineLevel="0" collapsed="false">
      <c r="A346" s="26"/>
      <c r="C346" s="22"/>
      <c r="D346" s="22"/>
      <c r="E346" s="22"/>
      <c r="F346" s="22"/>
    </row>
    <row r="347" customFormat="false" ht="15" hidden="false" customHeight="true" outlineLevel="0" collapsed="false">
      <c r="A347" s="26"/>
      <c r="C347" s="22"/>
      <c r="D347" s="22"/>
      <c r="E347" s="22"/>
      <c r="F347" s="22"/>
    </row>
    <row r="348" customFormat="false" ht="15" hidden="false" customHeight="true" outlineLevel="0" collapsed="false">
      <c r="A348" s="26"/>
      <c r="C348" s="22"/>
      <c r="D348" s="22"/>
      <c r="E348" s="22"/>
      <c r="F348" s="22"/>
    </row>
    <row r="349" customFormat="false" ht="15" hidden="false" customHeight="true" outlineLevel="0" collapsed="false">
      <c r="A349" s="26"/>
      <c r="C349" s="22"/>
      <c r="D349" s="22"/>
      <c r="E349" s="22"/>
      <c r="F349" s="22"/>
    </row>
    <row r="350" customFormat="false" ht="15" hidden="false" customHeight="true" outlineLevel="0" collapsed="false">
      <c r="A350" s="26"/>
      <c r="C350" s="22"/>
      <c r="D350" s="22"/>
      <c r="E350" s="22"/>
      <c r="F350" s="22"/>
    </row>
    <row r="351" customFormat="false" ht="15" hidden="false" customHeight="true" outlineLevel="0" collapsed="false">
      <c r="A351" s="26"/>
      <c r="C351" s="22"/>
      <c r="D351" s="22"/>
      <c r="E351" s="22"/>
      <c r="F351" s="22"/>
    </row>
    <row r="352" customFormat="false" ht="15" hidden="false" customHeight="true" outlineLevel="0" collapsed="false">
      <c r="A352" s="26"/>
      <c r="C352" s="22"/>
      <c r="D352" s="22"/>
      <c r="E352" s="22"/>
      <c r="F352" s="22"/>
    </row>
    <row r="353" customFormat="false" ht="15" hidden="false" customHeight="true" outlineLevel="0" collapsed="false">
      <c r="A353" s="26"/>
      <c r="C353" s="22"/>
      <c r="D353" s="22"/>
      <c r="E353" s="22"/>
      <c r="F353" s="22"/>
    </row>
    <row r="354" customFormat="false" ht="15" hidden="false" customHeight="true" outlineLevel="0" collapsed="false">
      <c r="A354" s="26"/>
      <c r="C354" s="22"/>
      <c r="D354" s="22"/>
      <c r="E354" s="22"/>
      <c r="F354" s="22"/>
    </row>
    <row r="355" customFormat="false" ht="15" hidden="false" customHeight="true" outlineLevel="0" collapsed="false">
      <c r="A355" s="26"/>
      <c r="C355" s="22"/>
      <c r="D355" s="22"/>
      <c r="E355" s="22"/>
      <c r="F355" s="22"/>
    </row>
    <row r="356" customFormat="false" ht="15" hidden="false" customHeight="true" outlineLevel="0" collapsed="false">
      <c r="A356" s="26"/>
      <c r="C356" s="22"/>
      <c r="D356" s="22"/>
      <c r="E356" s="22"/>
      <c r="F356" s="22"/>
    </row>
    <row r="357" customFormat="false" ht="15" hidden="false" customHeight="true" outlineLevel="0" collapsed="false">
      <c r="A357" s="26"/>
      <c r="C357" s="22"/>
      <c r="D357" s="22"/>
      <c r="E357" s="22"/>
      <c r="F357" s="22"/>
    </row>
    <row r="358" customFormat="false" ht="15" hidden="false" customHeight="true" outlineLevel="0" collapsed="false">
      <c r="A358" s="26"/>
      <c r="C358" s="22"/>
      <c r="D358" s="22"/>
      <c r="E358" s="22"/>
      <c r="F358" s="22"/>
    </row>
    <row r="359" customFormat="false" ht="15" hidden="false" customHeight="true" outlineLevel="0" collapsed="false">
      <c r="A359" s="26"/>
      <c r="C359" s="22"/>
      <c r="D359" s="22"/>
      <c r="E359" s="22"/>
      <c r="F359" s="22"/>
    </row>
    <row r="360" customFormat="false" ht="15" hidden="false" customHeight="true" outlineLevel="0" collapsed="false">
      <c r="A360" s="26"/>
      <c r="C360" s="22"/>
      <c r="D360" s="22"/>
      <c r="E360" s="22"/>
      <c r="F360" s="22"/>
    </row>
    <row r="361" customFormat="false" ht="15" hidden="false" customHeight="true" outlineLevel="0" collapsed="false">
      <c r="A361" s="26"/>
      <c r="C361" s="22"/>
      <c r="D361" s="22"/>
      <c r="E361" s="22"/>
      <c r="F361" s="22"/>
    </row>
    <row r="362" customFormat="false" ht="15" hidden="false" customHeight="true" outlineLevel="0" collapsed="false">
      <c r="A362" s="26"/>
      <c r="C362" s="22"/>
      <c r="D362" s="22"/>
      <c r="E362" s="22"/>
      <c r="F362" s="22"/>
    </row>
    <row r="363" customFormat="false" ht="15" hidden="false" customHeight="true" outlineLevel="0" collapsed="false">
      <c r="A363" s="26"/>
      <c r="C363" s="22"/>
      <c r="D363" s="22"/>
      <c r="E363" s="22"/>
      <c r="F363" s="22"/>
    </row>
    <row r="364" customFormat="false" ht="15" hidden="false" customHeight="true" outlineLevel="0" collapsed="false">
      <c r="A364" s="26"/>
      <c r="C364" s="22"/>
      <c r="D364" s="22"/>
      <c r="E364" s="22"/>
      <c r="F364" s="22"/>
    </row>
    <row r="365" customFormat="false" ht="15" hidden="false" customHeight="true" outlineLevel="0" collapsed="false">
      <c r="A365" s="26"/>
      <c r="C365" s="22"/>
      <c r="D365" s="22"/>
      <c r="E365" s="22"/>
      <c r="F365" s="22"/>
    </row>
    <row r="366" customFormat="false" ht="15" hidden="false" customHeight="true" outlineLevel="0" collapsed="false">
      <c r="A366" s="26"/>
      <c r="C366" s="22"/>
      <c r="D366" s="22"/>
      <c r="E366" s="22"/>
      <c r="F366" s="22"/>
    </row>
    <row r="367" customFormat="false" ht="15" hidden="false" customHeight="true" outlineLevel="0" collapsed="false">
      <c r="A367" s="26"/>
      <c r="C367" s="22"/>
      <c r="D367" s="22"/>
      <c r="E367" s="22"/>
      <c r="F367" s="22"/>
    </row>
    <row r="368" customFormat="false" ht="15" hidden="false" customHeight="true" outlineLevel="0" collapsed="false">
      <c r="A368" s="26"/>
      <c r="C368" s="22"/>
      <c r="D368" s="22"/>
      <c r="E368" s="22"/>
      <c r="F368" s="22"/>
    </row>
    <row r="369" customFormat="false" ht="15" hidden="false" customHeight="true" outlineLevel="0" collapsed="false">
      <c r="A369" s="26"/>
      <c r="C369" s="22"/>
      <c r="D369" s="22"/>
      <c r="E369" s="22"/>
      <c r="F369" s="22"/>
    </row>
    <row r="370" customFormat="false" ht="15" hidden="false" customHeight="true" outlineLevel="0" collapsed="false">
      <c r="A370" s="26"/>
      <c r="C370" s="22"/>
      <c r="D370" s="22"/>
      <c r="E370" s="22"/>
      <c r="F370" s="22"/>
    </row>
    <row r="371" customFormat="false" ht="15" hidden="false" customHeight="true" outlineLevel="0" collapsed="false">
      <c r="A371" s="26"/>
      <c r="C371" s="22"/>
      <c r="D371" s="22"/>
      <c r="E371" s="22"/>
      <c r="F371" s="22"/>
    </row>
    <row r="372" customFormat="false" ht="15" hidden="false" customHeight="true" outlineLevel="0" collapsed="false">
      <c r="A372" s="26"/>
      <c r="C372" s="22"/>
      <c r="D372" s="22"/>
      <c r="E372" s="22"/>
      <c r="F372" s="22"/>
    </row>
    <row r="373" customFormat="false" ht="15" hidden="false" customHeight="true" outlineLevel="0" collapsed="false">
      <c r="A373" s="26"/>
      <c r="C373" s="22"/>
      <c r="D373" s="22"/>
      <c r="E373" s="22"/>
      <c r="F373" s="22"/>
    </row>
    <row r="374" customFormat="false" ht="15" hidden="false" customHeight="true" outlineLevel="0" collapsed="false">
      <c r="A374" s="26"/>
      <c r="C374" s="22"/>
      <c r="D374" s="22"/>
      <c r="E374" s="22"/>
      <c r="F374" s="22"/>
    </row>
    <row r="375" customFormat="false" ht="15" hidden="false" customHeight="true" outlineLevel="0" collapsed="false">
      <c r="A375" s="26"/>
      <c r="C375" s="22"/>
      <c r="D375" s="22"/>
      <c r="E375" s="22"/>
      <c r="F375" s="22"/>
    </row>
    <row r="376" customFormat="false" ht="15" hidden="false" customHeight="true" outlineLevel="0" collapsed="false">
      <c r="A376" s="26"/>
      <c r="C376" s="22"/>
      <c r="D376" s="22"/>
      <c r="E376" s="22"/>
      <c r="F376" s="22"/>
    </row>
    <row r="377" customFormat="false" ht="15" hidden="false" customHeight="true" outlineLevel="0" collapsed="false">
      <c r="A377" s="26"/>
      <c r="C377" s="22"/>
      <c r="D377" s="22"/>
      <c r="E377" s="22"/>
      <c r="F377" s="22"/>
    </row>
    <row r="378" customFormat="false" ht="15" hidden="false" customHeight="true" outlineLevel="0" collapsed="false">
      <c r="A378" s="26"/>
      <c r="C378" s="22"/>
      <c r="D378" s="22"/>
      <c r="E378" s="22"/>
      <c r="F378" s="22"/>
    </row>
    <row r="379" customFormat="false" ht="15" hidden="false" customHeight="true" outlineLevel="0" collapsed="false">
      <c r="A379" s="26"/>
      <c r="C379" s="22"/>
      <c r="D379" s="22"/>
      <c r="E379" s="22"/>
      <c r="F379" s="22"/>
    </row>
    <row r="380" customFormat="false" ht="15" hidden="false" customHeight="true" outlineLevel="0" collapsed="false">
      <c r="A380" s="26"/>
      <c r="C380" s="22"/>
      <c r="D380" s="22"/>
      <c r="E380" s="22"/>
      <c r="F380" s="22"/>
    </row>
    <row r="381" customFormat="false" ht="15" hidden="false" customHeight="true" outlineLevel="0" collapsed="false">
      <c r="A381" s="26"/>
      <c r="C381" s="22"/>
      <c r="D381" s="22"/>
      <c r="E381" s="22"/>
      <c r="F381" s="22"/>
    </row>
    <row r="382" customFormat="false" ht="15" hidden="false" customHeight="true" outlineLevel="0" collapsed="false">
      <c r="A382" s="26"/>
      <c r="C382" s="22"/>
      <c r="D382" s="22"/>
      <c r="E382" s="22"/>
      <c r="F382" s="22"/>
    </row>
    <row r="383" customFormat="false" ht="15" hidden="false" customHeight="true" outlineLevel="0" collapsed="false">
      <c r="A383" s="26"/>
      <c r="C383" s="22"/>
      <c r="D383" s="22"/>
      <c r="E383" s="22"/>
      <c r="F383" s="22"/>
    </row>
    <row r="384" customFormat="false" ht="15" hidden="false" customHeight="true" outlineLevel="0" collapsed="false">
      <c r="A384" s="26"/>
      <c r="C384" s="22"/>
      <c r="D384" s="22"/>
      <c r="E384" s="22"/>
      <c r="F384" s="22"/>
    </row>
    <row r="385" customFormat="false" ht="15" hidden="false" customHeight="true" outlineLevel="0" collapsed="false">
      <c r="A385" s="26"/>
      <c r="C385" s="22"/>
      <c r="D385" s="22"/>
      <c r="E385" s="22"/>
      <c r="F385" s="22"/>
    </row>
    <row r="386" customFormat="false" ht="15" hidden="false" customHeight="true" outlineLevel="0" collapsed="false">
      <c r="A386" s="26"/>
      <c r="C386" s="22"/>
      <c r="D386" s="22"/>
      <c r="E386" s="22"/>
      <c r="F386" s="22"/>
    </row>
    <row r="387" customFormat="false" ht="15" hidden="false" customHeight="true" outlineLevel="0" collapsed="false">
      <c r="A387" s="26"/>
      <c r="C387" s="22"/>
      <c r="D387" s="22"/>
      <c r="E387" s="22"/>
      <c r="F387" s="22"/>
    </row>
    <row r="388" customFormat="false" ht="15" hidden="false" customHeight="true" outlineLevel="0" collapsed="false">
      <c r="A388" s="26"/>
      <c r="C388" s="22"/>
      <c r="D388" s="22"/>
      <c r="E388" s="22"/>
      <c r="F388" s="22"/>
    </row>
    <row r="389" customFormat="false" ht="15" hidden="false" customHeight="true" outlineLevel="0" collapsed="false">
      <c r="A389" s="26"/>
      <c r="C389" s="22"/>
      <c r="D389" s="22"/>
      <c r="E389" s="22"/>
      <c r="F389" s="22"/>
    </row>
    <row r="390" customFormat="false" ht="15" hidden="false" customHeight="true" outlineLevel="0" collapsed="false">
      <c r="A390" s="26"/>
      <c r="C390" s="22"/>
      <c r="D390" s="22"/>
      <c r="E390" s="22"/>
      <c r="F390" s="22"/>
    </row>
    <row r="391" customFormat="false" ht="15" hidden="false" customHeight="true" outlineLevel="0" collapsed="false">
      <c r="A391" s="26"/>
      <c r="C391" s="22"/>
      <c r="D391" s="22"/>
      <c r="E391" s="22"/>
      <c r="F391" s="22"/>
    </row>
    <row r="392" customFormat="false" ht="15" hidden="false" customHeight="true" outlineLevel="0" collapsed="false">
      <c r="A392" s="26"/>
      <c r="C392" s="22"/>
      <c r="D392" s="22"/>
      <c r="E392" s="22"/>
      <c r="F392" s="22"/>
    </row>
    <row r="393" customFormat="false" ht="15" hidden="false" customHeight="true" outlineLevel="0" collapsed="false">
      <c r="A393" s="26"/>
      <c r="C393" s="22"/>
      <c r="D393" s="22"/>
      <c r="E393" s="22"/>
      <c r="F393" s="22"/>
    </row>
    <row r="394" customFormat="false" ht="15" hidden="false" customHeight="true" outlineLevel="0" collapsed="false">
      <c r="A394" s="26"/>
      <c r="C394" s="22"/>
      <c r="D394" s="22"/>
      <c r="E394" s="22"/>
      <c r="F394" s="22"/>
    </row>
    <row r="395" customFormat="false" ht="15" hidden="false" customHeight="true" outlineLevel="0" collapsed="false">
      <c r="A395" s="26"/>
      <c r="C395" s="22"/>
      <c r="D395" s="22"/>
      <c r="E395" s="22"/>
      <c r="F395" s="22"/>
    </row>
    <row r="396" customFormat="false" ht="15" hidden="false" customHeight="true" outlineLevel="0" collapsed="false">
      <c r="A396" s="26"/>
      <c r="C396" s="22"/>
      <c r="D396" s="22"/>
      <c r="E396" s="22"/>
      <c r="F396" s="22"/>
    </row>
    <row r="397" customFormat="false" ht="15" hidden="false" customHeight="true" outlineLevel="0" collapsed="false">
      <c r="A397" s="26"/>
      <c r="C397" s="22"/>
      <c r="D397" s="22"/>
      <c r="E397" s="22"/>
      <c r="F397" s="22"/>
    </row>
    <row r="398" customFormat="false" ht="15" hidden="false" customHeight="true" outlineLevel="0" collapsed="false">
      <c r="A398" s="26"/>
      <c r="C398" s="22"/>
      <c r="D398" s="22"/>
      <c r="E398" s="22"/>
      <c r="F398" s="22"/>
    </row>
    <row r="399" customFormat="false" ht="15" hidden="false" customHeight="true" outlineLevel="0" collapsed="false">
      <c r="A399" s="26"/>
      <c r="C399" s="22"/>
      <c r="D399" s="22"/>
      <c r="E399" s="22"/>
      <c r="F399" s="22"/>
    </row>
    <row r="400" customFormat="false" ht="15" hidden="false" customHeight="true" outlineLevel="0" collapsed="false">
      <c r="A400" s="26"/>
      <c r="C400" s="22"/>
      <c r="D400" s="22"/>
      <c r="E400" s="22"/>
      <c r="F400" s="22"/>
    </row>
    <row r="401" customFormat="false" ht="15" hidden="false" customHeight="true" outlineLevel="0" collapsed="false">
      <c r="A401" s="26"/>
      <c r="C401" s="22"/>
      <c r="D401" s="22"/>
      <c r="E401" s="22"/>
      <c r="F401" s="22"/>
    </row>
    <row r="402" customFormat="false" ht="15" hidden="false" customHeight="true" outlineLevel="0" collapsed="false">
      <c r="A402" s="26"/>
      <c r="C402" s="22"/>
      <c r="D402" s="22"/>
      <c r="E402" s="22"/>
      <c r="F402" s="22"/>
    </row>
    <row r="403" customFormat="false" ht="15" hidden="false" customHeight="true" outlineLevel="0" collapsed="false">
      <c r="A403" s="26"/>
      <c r="C403" s="22"/>
      <c r="D403" s="22"/>
      <c r="E403" s="22"/>
      <c r="F403" s="22"/>
    </row>
    <row r="404" customFormat="false" ht="15" hidden="false" customHeight="true" outlineLevel="0" collapsed="false">
      <c r="A404" s="26"/>
      <c r="C404" s="22"/>
      <c r="D404" s="22"/>
      <c r="E404" s="22"/>
      <c r="F404" s="22"/>
    </row>
    <row r="405" customFormat="false" ht="15" hidden="false" customHeight="true" outlineLevel="0" collapsed="false">
      <c r="A405" s="26"/>
      <c r="C405" s="22"/>
      <c r="D405" s="22"/>
      <c r="E405" s="22"/>
      <c r="F405" s="22"/>
    </row>
    <row r="406" customFormat="false" ht="15" hidden="false" customHeight="true" outlineLevel="0" collapsed="false">
      <c r="A406" s="26"/>
      <c r="C406" s="22"/>
      <c r="D406" s="22"/>
      <c r="E406" s="22"/>
      <c r="F406" s="22"/>
    </row>
    <row r="407" customFormat="false" ht="15" hidden="false" customHeight="true" outlineLevel="0" collapsed="false">
      <c r="A407" s="26"/>
      <c r="C407" s="22"/>
      <c r="D407" s="22"/>
      <c r="E407" s="22"/>
      <c r="F407" s="22"/>
    </row>
    <row r="408" customFormat="false" ht="15" hidden="false" customHeight="true" outlineLevel="0" collapsed="false">
      <c r="A408" s="26"/>
      <c r="C408" s="22"/>
      <c r="D408" s="22"/>
      <c r="E408" s="22"/>
      <c r="F408" s="22"/>
    </row>
    <row r="409" customFormat="false" ht="15" hidden="false" customHeight="true" outlineLevel="0" collapsed="false">
      <c r="A409" s="26"/>
      <c r="C409" s="22"/>
      <c r="D409" s="22"/>
      <c r="E409" s="22"/>
      <c r="F409" s="22"/>
    </row>
    <row r="410" customFormat="false" ht="15" hidden="false" customHeight="true" outlineLevel="0" collapsed="false">
      <c r="A410" s="26"/>
      <c r="C410" s="22"/>
      <c r="D410" s="22"/>
      <c r="E410" s="22"/>
      <c r="F410" s="22"/>
    </row>
    <row r="411" customFormat="false" ht="15" hidden="false" customHeight="true" outlineLevel="0" collapsed="false">
      <c r="A411" s="26"/>
      <c r="C411" s="22"/>
      <c r="D411" s="22"/>
      <c r="E411" s="22"/>
      <c r="F411" s="22"/>
    </row>
    <row r="412" customFormat="false" ht="15" hidden="false" customHeight="true" outlineLevel="0" collapsed="false">
      <c r="A412" s="26"/>
      <c r="C412" s="22"/>
      <c r="D412" s="22"/>
      <c r="E412" s="22"/>
      <c r="F412" s="22"/>
    </row>
    <row r="413" customFormat="false" ht="15" hidden="false" customHeight="true" outlineLevel="0" collapsed="false">
      <c r="A413" s="26"/>
      <c r="C413" s="22"/>
      <c r="D413" s="22"/>
      <c r="E413" s="22"/>
      <c r="F413" s="22"/>
    </row>
    <row r="414" customFormat="false" ht="15" hidden="false" customHeight="true" outlineLevel="0" collapsed="false">
      <c r="A414" s="26"/>
      <c r="C414" s="22"/>
      <c r="D414" s="22"/>
      <c r="E414" s="22"/>
      <c r="F414" s="22"/>
    </row>
    <row r="415" customFormat="false" ht="15" hidden="false" customHeight="true" outlineLevel="0" collapsed="false">
      <c r="A415" s="26"/>
      <c r="C415" s="22"/>
      <c r="D415" s="22"/>
      <c r="E415" s="22"/>
      <c r="F415" s="22"/>
    </row>
    <row r="416" customFormat="false" ht="15" hidden="false" customHeight="true" outlineLevel="0" collapsed="false">
      <c r="A416" s="26"/>
      <c r="C416" s="22"/>
      <c r="D416" s="22"/>
      <c r="E416" s="22"/>
      <c r="F416" s="22"/>
    </row>
    <row r="417" customFormat="false" ht="15" hidden="false" customHeight="true" outlineLevel="0" collapsed="false">
      <c r="A417" s="26"/>
      <c r="C417" s="22"/>
      <c r="D417" s="22"/>
      <c r="E417" s="22"/>
      <c r="F417" s="22"/>
    </row>
    <row r="418" customFormat="false" ht="15" hidden="false" customHeight="true" outlineLevel="0" collapsed="false">
      <c r="A418" s="26"/>
      <c r="C418" s="22"/>
      <c r="D418" s="22"/>
      <c r="E418" s="22"/>
      <c r="F418" s="22"/>
    </row>
    <row r="419" customFormat="false" ht="15" hidden="false" customHeight="true" outlineLevel="0" collapsed="false">
      <c r="A419" s="26"/>
      <c r="C419" s="22"/>
      <c r="D419" s="22"/>
      <c r="E419" s="22"/>
      <c r="F419" s="22"/>
    </row>
    <row r="420" customFormat="false" ht="15" hidden="false" customHeight="true" outlineLevel="0" collapsed="false">
      <c r="A420" s="26"/>
      <c r="C420" s="22"/>
      <c r="D420" s="22"/>
      <c r="E420" s="22"/>
      <c r="F420" s="22"/>
    </row>
    <row r="421" customFormat="false" ht="15" hidden="false" customHeight="true" outlineLevel="0" collapsed="false">
      <c r="A421" s="26"/>
      <c r="C421" s="22"/>
      <c r="D421" s="22"/>
      <c r="E421" s="22"/>
      <c r="F421" s="22"/>
    </row>
    <row r="422" customFormat="false" ht="15" hidden="false" customHeight="true" outlineLevel="0" collapsed="false">
      <c r="A422" s="26"/>
      <c r="C422" s="22"/>
      <c r="D422" s="22"/>
      <c r="E422" s="22"/>
      <c r="F422" s="22"/>
    </row>
    <row r="423" customFormat="false" ht="15" hidden="false" customHeight="true" outlineLevel="0" collapsed="false">
      <c r="A423" s="26"/>
      <c r="C423" s="22"/>
      <c r="D423" s="22"/>
      <c r="E423" s="22"/>
      <c r="F423" s="22"/>
    </row>
    <row r="424" customFormat="false" ht="15" hidden="false" customHeight="true" outlineLevel="0" collapsed="false">
      <c r="A424" s="26"/>
      <c r="C424" s="22"/>
      <c r="D424" s="22"/>
      <c r="E424" s="22"/>
      <c r="F424" s="22"/>
    </row>
    <row r="425" customFormat="false" ht="15" hidden="false" customHeight="true" outlineLevel="0" collapsed="false">
      <c r="A425" s="26"/>
      <c r="C425" s="22"/>
      <c r="D425" s="22"/>
      <c r="E425" s="22"/>
      <c r="F425" s="22"/>
    </row>
    <row r="426" customFormat="false" ht="15" hidden="false" customHeight="true" outlineLevel="0" collapsed="false">
      <c r="A426" s="26"/>
      <c r="C426" s="22"/>
      <c r="D426" s="22"/>
      <c r="E426" s="22"/>
      <c r="F426" s="22"/>
    </row>
    <row r="427" customFormat="false" ht="15" hidden="false" customHeight="true" outlineLevel="0" collapsed="false">
      <c r="A427" s="26"/>
      <c r="C427" s="22"/>
      <c r="D427" s="22"/>
      <c r="E427" s="22"/>
      <c r="F427" s="22"/>
    </row>
    <row r="428" customFormat="false" ht="15" hidden="false" customHeight="true" outlineLevel="0" collapsed="false">
      <c r="A428" s="26"/>
      <c r="C428" s="22"/>
      <c r="D428" s="22"/>
      <c r="E428" s="22"/>
      <c r="F428" s="22"/>
    </row>
    <row r="429" customFormat="false" ht="15" hidden="false" customHeight="true" outlineLevel="0" collapsed="false">
      <c r="A429" s="26"/>
      <c r="C429" s="22"/>
      <c r="D429" s="22"/>
      <c r="E429" s="22"/>
      <c r="F429" s="22"/>
    </row>
    <row r="430" customFormat="false" ht="15" hidden="false" customHeight="true" outlineLevel="0" collapsed="false">
      <c r="A430" s="26"/>
      <c r="C430" s="22"/>
      <c r="D430" s="22"/>
      <c r="E430" s="22"/>
      <c r="F430" s="22"/>
    </row>
    <row r="431" customFormat="false" ht="15" hidden="false" customHeight="true" outlineLevel="0" collapsed="false">
      <c r="A431" s="26"/>
      <c r="C431" s="22"/>
      <c r="D431" s="22"/>
      <c r="E431" s="22"/>
      <c r="F431" s="22"/>
    </row>
    <row r="432" customFormat="false" ht="15" hidden="false" customHeight="true" outlineLevel="0" collapsed="false">
      <c r="A432" s="26"/>
      <c r="C432" s="22"/>
      <c r="D432" s="22"/>
      <c r="E432" s="22"/>
      <c r="F432" s="22"/>
    </row>
    <row r="433" customFormat="false" ht="15" hidden="false" customHeight="true" outlineLevel="0" collapsed="false">
      <c r="A433" s="26"/>
      <c r="C433" s="22"/>
      <c r="D433" s="22"/>
      <c r="E433" s="22"/>
      <c r="F433" s="22"/>
    </row>
    <row r="434" customFormat="false" ht="15" hidden="false" customHeight="true" outlineLevel="0" collapsed="false">
      <c r="A434" s="26"/>
      <c r="C434" s="22"/>
      <c r="D434" s="22"/>
      <c r="E434" s="22"/>
      <c r="F434" s="22"/>
    </row>
    <row r="435" customFormat="false" ht="15" hidden="false" customHeight="true" outlineLevel="0" collapsed="false">
      <c r="A435" s="26"/>
      <c r="C435" s="22"/>
      <c r="D435" s="22"/>
      <c r="E435" s="22"/>
      <c r="F435" s="22"/>
    </row>
    <row r="436" customFormat="false" ht="15" hidden="false" customHeight="true" outlineLevel="0" collapsed="false">
      <c r="A436" s="26"/>
      <c r="C436" s="22"/>
      <c r="D436" s="22"/>
      <c r="E436" s="22"/>
      <c r="F436" s="22"/>
    </row>
    <row r="437" customFormat="false" ht="15" hidden="false" customHeight="true" outlineLevel="0" collapsed="false">
      <c r="A437" s="26"/>
      <c r="C437" s="22"/>
      <c r="D437" s="22"/>
      <c r="E437" s="22"/>
      <c r="F437" s="22"/>
    </row>
    <row r="438" customFormat="false" ht="15" hidden="false" customHeight="true" outlineLevel="0" collapsed="false">
      <c r="A438" s="26"/>
      <c r="C438" s="22"/>
      <c r="D438" s="22"/>
      <c r="E438" s="22"/>
      <c r="F438" s="22"/>
    </row>
    <row r="439" customFormat="false" ht="15" hidden="false" customHeight="true" outlineLevel="0" collapsed="false">
      <c r="A439" s="26"/>
      <c r="C439" s="22"/>
      <c r="D439" s="22"/>
      <c r="E439" s="22"/>
      <c r="F439" s="22"/>
    </row>
    <row r="440" customFormat="false" ht="15" hidden="false" customHeight="true" outlineLevel="0" collapsed="false">
      <c r="A440" s="26"/>
      <c r="C440" s="22"/>
      <c r="D440" s="22"/>
      <c r="E440" s="22"/>
      <c r="F440" s="22"/>
    </row>
    <row r="441" customFormat="false" ht="15" hidden="false" customHeight="true" outlineLevel="0" collapsed="false">
      <c r="A441" s="26"/>
      <c r="C441" s="22"/>
      <c r="D441" s="22"/>
      <c r="E441" s="22"/>
      <c r="F441" s="22"/>
    </row>
    <row r="442" customFormat="false" ht="15" hidden="false" customHeight="true" outlineLevel="0" collapsed="false">
      <c r="A442" s="26"/>
      <c r="C442" s="22"/>
      <c r="D442" s="22"/>
      <c r="E442" s="22"/>
      <c r="F442" s="22"/>
    </row>
    <row r="443" customFormat="false" ht="15" hidden="false" customHeight="true" outlineLevel="0" collapsed="false">
      <c r="A443" s="26"/>
      <c r="C443" s="22"/>
      <c r="D443" s="22"/>
      <c r="E443" s="22"/>
      <c r="F443" s="22"/>
    </row>
    <row r="444" customFormat="false" ht="15" hidden="false" customHeight="true" outlineLevel="0" collapsed="false">
      <c r="A444" s="26"/>
      <c r="C444" s="22"/>
      <c r="D444" s="22"/>
      <c r="E444" s="22"/>
      <c r="F444" s="22"/>
    </row>
    <row r="445" customFormat="false" ht="15" hidden="false" customHeight="true" outlineLevel="0" collapsed="false">
      <c r="A445" s="26"/>
      <c r="C445" s="22"/>
      <c r="D445" s="22"/>
      <c r="E445" s="22"/>
      <c r="F445" s="22"/>
    </row>
    <row r="446" customFormat="false" ht="15" hidden="false" customHeight="true" outlineLevel="0" collapsed="false">
      <c r="A446" s="26"/>
      <c r="C446" s="22"/>
      <c r="D446" s="22"/>
      <c r="E446" s="22"/>
      <c r="F446" s="22"/>
    </row>
    <row r="447" customFormat="false" ht="15" hidden="false" customHeight="true" outlineLevel="0" collapsed="false">
      <c r="A447" s="26"/>
      <c r="C447" s="22"/>
      <c r="D447" s="22"/>
      <c r="E447" s="22"/>
      <c r="F447" s="22"/>
    </row>
    <row r="448" customFormat="false" ht="15" hidden="false" customHeight="true" outlineLevel="0" collapsed="false">
      <c r="A448" s="26"/>
      <c r="C448" s="22"/>
      <c r="D448" s="22"/>
      <c r="E448" s="22"/>
      <c r="F448" s="22"/>
    </row>
    <row r="449" customFormat="false" ht="15" hidden="false" customHeight="true" outlineLevel="0" collapsed="false">
      <c r="A449" s="26"/>
      <c r="C449" s="22"/>
      <c r="D449" s="22"/>
      <c r="E449" s="22"/>
      <c r="F449" s="22"/>
    </row>
    <row r="450" customFormat="false" ht="15" hidden="false" customHeight="true" outlineLevel="0" collapsed="false">
      <c r="A450" s="26"/>
      <c r="C450" s="22"/>
      <c r="D450" s="22"/>
      <c r="E450" s="22"/>
      <c r="F450" s="22"/>
    </row>
    <row r="451" customFormat="false" ht="15" hidden="false" customHeight="true" outlineLevel="0" collapsed="false">
      <c r="A451" s="26"/>
      <c r="C451" s="22"/>
      <c r="D451" s="22"/>
      <c r="E451" s="22"/>
      <c r="F451" s="22"/>
    </row>
    <row r="452" customFormat="false" ht="15" hidden="false" customHeight="true" outlineLevel="0" collapsed="false">
      <c r="A452" s="26"/>
      <c r="C452" s="22"/>
      <c r="D452" s="22"/>
      <c r="E452" s="22"/>
      <c r="F452" s="22"/>
    </row>
    <row r="453" customFormat="false" ht="15" hidden="false" customHeight="true" outlineLevel="0" collapsed="false">
      <c r="A453" s="26"/>
      <c r="C453" s="22"/>
      <c r="D453" s="22"/>
      <c r="E453" s="22"/>
      <c r="F453" s="22"/>
    </row>
    <row r="454" customFormat="false" ht="15" hidden="false" customHeight="true" outlineLevel="0" collapsed="false">
      <c r="A454" s="26"/>
      <c r="C454" s="22"/>
      <c r="D454" s="22"/>
      <c r="E454" s="22"/>
      <c r="F454" s="22"/>
    </row>
    <row r="455" customFormat="false" ht="15" hidden="false" customHeight="true" outlineLevel="0" collapsed="false">
      <c r="A455" s="26"/>
      <c r="C455" s="22"/>
      <c r="D455" s="22"/>
      <c r="E455" s="22"/>
      <c r="F455" s="22"/>
    </row>
    <row r="456" customFormat="false" ht="15" hidden="false" customHeight="true" outlineLevel="0" collapsed="false">
      <c r="A456" s="26"/>
      <c r="C456" s="22"/>
      <c r="D456" s="22"/>
      <c r="E456" s="22"/>
      <c r="F456" s="22"/>
    </row>
    <row r="457" customFormat="false" ht="15" hidden="false" customHeight="true" outlineLevel="0" collapsed="false">
      <c r="A457" s="26"/>
      <c r="C457" s="22"/>
      <c r="D457" s="22"/>
      <c r="E457" s="22"/>
      <c r="F457" s="22"/>
    </row>
    <row r="458" customFormat="false" ht="15" hidden="false" customHeight="true" outlineLevel="0" collapsed="false">
      <c r="A458" s="26"/>
      <c r="C458" s="22"/>
      <c r="D458" s="22"/>
      <c r="E458" s="22"/>
      <c r="F458" s="22"/>
    </row>
    <row r="459" customFormat="false" ht="15" hidden="false" customHeight="true" outlineLevel="0" collapsed="false">
      <c r="A459" s="26"/>
      <c r="C459" s="22"/>
      <c r="D459" s="22"/>
      <c r="E459" s="22"/>
      <c r="F459" s="22"/>
    </row>
    <row r="460" customFormat="false" ht="15" hidden="false" customHeight="true" outlineLevel="0" collapsed="false">
      <c r="A460" s="26"/>
      <c r="C460" s="22"/>
      <c r="D460" s="22"/>
      <c r="E460" s="22"/>
      <c r="F460" s="22"/>
    </row>
    <row r="461" customFormat="false" ht="15" hidden="false" customHeight="true" outlineLevel="0" collapsed="false">
      <c r="A461" s="26"/>
      <c r="C461" s="22"/>
      <c r="D461" s="22"/>
      <c r="E461" s="22"/>
      <c r="F461" s="22"/>
    </row>
    <row r="462" customFormat="false" ht="15" hidden="false" customHeight="true" outlineLevel="0" collapsed="false">
      <c r="A462" s="26"/>
      <c r="C462" s="22"/>
      <c r="D462" s="22"/>
      <c r="E462" s="22"/>
      <c r="F462" s="22"/>
    </row>
    <row r="463" customFormat="false" ht="15" hidden="false" customHeight="true" outlineLevel="0" collapsed="false">
      <c r="A463" s="26"/>
      <c r="C463" s="22"/>
      <c r="D463" s="22"/>
      <c r="E463" s="22"/>
      <c r="F463" s="22"/>
    </row>
    <row r="464" customFormat="false" ht="15" hidden="false" customHeight="true" outlineLevel="0" collapsed="false">
      <c r="A464" s="26"/>
      <c r="C464" s="22"/>
      <c r="D464" s="22"/>
      <c r="E464" s="22"/>
      <c r="F464" s="22"/>
    </row>
    <row r="465" customFormat="false" ht="15" hidden="false" customHeight="true" outlineLevel="0" collapsed="false">
      <c r="A465" s="26"/>
      <c r="C465" s="22"/>
      <c r="D465" s="22"/>
      <c r="E465" s="22"/>
      <c r="F465" s="22"/>
    </row>
    <row r="466" customFormat="false" ht="15" hidden="false" customHeight="true" outlineLevel="0" collapsed="false">
      <c r="A466" s="26"/>
      <c r="C466" s="22"/>
      <c r="D466" s="22"/>
      <c r="E466" s="22"/>
      <c r="F466" s="22"/>
    </row>
    <row r="467" customFormat="false" ht="15" hidden="false" customHeight="true" outlineLevel="0" collapsed="false">
      <c r="A467" s="26"/>
      <c r="C467" s="22"/>
      <c r="D467" s="22"/>
      <c r="E467" s="22"/>
      <c r="F467" s="22"/>
    </row>
    <row r="468" customFormat="false" ht="15" hidden="false" customHeight="true" outlineLevel="0" collapsed="false">
      <c r="A468" s="26"/>
      <c r="C468" s="22"/>
      <c r="D468" s="22"/>
      <c r="E468" s="22"/>
      <c r="F468" s="22"/>
    </row>
    <row r="469" customFormat="false" ht="15" hidden="false" customHeight="true" outlineLevel="0" collapsed="false">
      <c r="A469" s="26"/>
      <c r="C469" s="22"/>
      <c r="D469" s="22"/>
      <c r="E469" s="22"/>
      <c r="F469" s="22"/>
    </row>
    <row r="470" customFormat="false" ht="15" hidden="false" customHeight="true" outlineLevel="0" collapsed="false">
      <c r="A470" s="26"/>
      <c r="C470" s="22"/>
      <c r="D470" s="22"/>
      <c r="E470" s="22"/>
      <c r="F470" s="22"/>
    </row>
    <row r="471" customFormat="false" ht="15" hidden="false" customHeight="true" outlineLevel="0" collapsed="false">
      <c r="A471" s="26"/>
      <c r="C471" s="22"/>
      <c r="D471" s="22"/>
      <c r="E471" s="22"/>
      <c r="F471" s="22"/>
    </row>
    <row r="472" customFormat="false" ht="15" hidden="false" customHeight="true" outlineLevel="0" collapsed="false">
      <c r="A472" s="26"/>
      <c r="C472" s="22"/>
      <c r="D472" s="22"/>
      <c r="E472" s="22"/>
      <c r="F472" s="22"/>
    </row>
    <row r="473" customFormat="false" ht="15" hidden="false" customHeight="true" outlineLevel="0" collapsed="false">
      <c r="A473" s="26"/>
      <c r="C473" s="22"/>
      <c r="D473" s="22"/>
      <c r="E473" s="22"/>
      <c r="F473" s="22"/>
    </row>
    <row r="474" customFormat="false" ht="15" hidden="false" customHeight="true" outlineLevel="0" collapsed="false">
      <c r="A474" s="26"/>
      <c r="C474" s="22"/>
      <c r="D474" s="22"/>
      <c r="E474" s="22"/>
      <c r="F474" s="22"/>
    </row>
    <row r="475" customFormat="false" ht="15" hidden="false" customHeight="true" outlineLevel="0" collapsed="false">
      <c r="A475" s="26"/>
      <c r="C475" s="22"/>
      <c r="D475" s="22"/>
      <c r="E475" s="22"/>
      <c r="F475" s="22"/>
    </row>
    <row r="476" customFormat="false" ht="15" hidden="false" customHeight="true" outlineLevel="0" collapsed="false">
      <c r="A476" s="26"/>
      <c r="C476" s="22"/>
      <c r="D476" s="22"/>
      <c r="E476" s="22"/>
      <c r="F476" s="22"/>
    </row>
    <row r="477" customFormat="false" ht="15" hidden="false" customHeight="true" outlineLevel="0" collapsed="false">
      <c r="A477" s="26"/>
      <c r="C477" s="22"/>
      <c r="D477" s="22"/>
      <c r="E477" s="22"/>
      <c r="F477" s="22"/>
    </row>
    <row r="478" customFormat="false" ht="15" hidden="false" customHeight="true" outlineLevel="0" collapsed="false">
      <c r="A478" s="26"/>
      <c r="C478" s="22"/>
      <c r="D478" s="22"/>
      <c r="E478" s="22"/>
      <c r="F478" s="22"/>
    </row>
    <row r="479" customFormat="false" ht="15" hidden="false" customHeight="true" outlineLevel="0" collapsed="false">
      <c r="A479" s="26"/>
      <c r="C479" s="22"/>
      <c r="D479" s="22"/>
      <c r="E479" s="22"/>
      <c r="F479" s="22"/>
    </row>
    <row r="480" customFormat="false" ht="15" hidden="false" customHeight="true" outlineLevel="0" collapsed="false">
      <c r="A480" s="26"/>
      <c r="C480" s="22"/>
      <c r="D480" s="22"/>
      <c r="E480" s="22"/>
      <c r="F480" s="22"/>
    </row>
    <row r="481" customFormat="false" ht="15" hidden="false" customHeight="true" outlineLevel="0" collapsed="false">
      <c r="A481" s="26"/>
      <c r="C481" s="22"/>
      <c r="D481" s="22"/>
      <c r="E481" s="22"/>
      <c r="F481" s="22"/>
    </row>
    <row r="482" customFormat="false" ht="15" hidden="false" customHeight="true" outlineLevel="0" collapsed="false">
      <c r="A482" s="26"/>
      <c r="C482" s="22"/>
      <c r="D482" s="22"/>
      <c r="E482" s="22"/>
      <c r="F482" s="22"/>
    </row>
    <row r="483" customFormat="false" ht="15" hidden="false" customHeight="true" outlineLevel="0" collapsed="false">
      <c r="A483" s="26"/>
      <c r="C483" s="22"/>
      <c r="D483" s="22"/>
      <c r="E483" s="22"/>
      <c r="F483" s="22"/>
    </row>
    <row r="484" customFormat="false" ht="15" hidden="false" customHeight="true" outlineLevel="0" collapsed="false">
      <c r="A484" s="26"/>
      <c r="C484" s="22"/>
      <c r="D484" s="22"/>
      <c r="E484" s="22"/>
      <c r="F484" s="22"/>
    </row>
    <row r="485" customFormat="false" ht="15" hidden="false" customHeight="true" outlineLevel="0" collapsed="false">
      <c r="A485" s="26"/>
      <c r="C485" s="22"/>
      <c r="D485" s="22"/>
      <c r="E485" s="22"/>
      <c r="F485" s="22"/>
    </row>
    <row r="486" customFormat="false" ht="15" hidden="false" customHeight="true" outlineLevel="0" collapsed="false">
      <c r="A486" s="26"/>
      <c r="C486" s="22"/>
      <c r="D486" s="22"/>
      <c r="E486" s="22"/>
      <c r="F486" s="22"/>
    </row>
    <row r="487" customFormat="false" ht="15" hidden="false" customHeight="true" outlineLevel="0" collapsed="false">
      <c r="A487" s="26"/>
      <c r="C487" s="22"/>
      <c r="D487" s="22"/>
      <c r="E487" s="22"/>
      <c r="F487" s="22"/>
    </row>
    <row r="488" customFormat="false" ht="15" hidden="false" customHeight="true" outlineLevel="0" collapsed="false">
      <c r="A488" s="26"/>
      <c r="C488" s="22"/>
      <c r="D488" s="22"/>
      <c r="E488" s="22"/>
      <c r="F488" s="22"/>
    </row>
    <row r="489" customFormat="false" ht="15" hidden="false" customHeight="true" outlineLevel="0" collapsed="false">
      <c r="A489" s="26"/>
      <c r="C489" s="22"/>
      <c r="D489" s="22"/>
      <c r="E489" s="22"/>
      <c r="F489" s="22"/>
    </row>
    <row r="490" customFormat="false" ht="15" hidden="false" customHeight="true" outlineLevel="0" collapsed="false">
      <c r="A490" s="26"/>
      <c r="C490" s="22"/>
      <c r="D490" s="22"/>
      <c r="E490" s="22"/>
      <c r="F490" s="22"/>
    </row>
    <row r="491" customFormat="false" ht="15" hidden="false" customHeight="true" outlineLevel="0" collapsed="false">
      <c r="A491" s="26"/>
      <c r="C491" s="22"/>
      <c r="D491" s="22"/>
      <c r="E491" s="22"/>
      <c r="F491" s="22"/>
    </row>
    <row r="492" customFormat="false" ht="15" hidden="false" customHeight="true" outlineLevel="0" collapsed="false">
      <c r="A492" s="26"/>
      <c r="C492" s="22"/>
      <c r="D492" s="22"/>
      <c r="E492" s="22"/>
      <c r="F492" s="22"/>
    </row>
    <row r="493" customFormat="false" ht="15" hidden="false" customHeight="true" outlineLevel="0" collapsed="false">
      <c r="A493" s="26"/>
      <c r="C493" s="22"/>
      <c r="D493" s="22"/>
      <c r="E493" s="22"/>
      <c r="F493" s="22"/>
    </row>
    <row r="494" customFormat="false" ht="15" hidden="false" customHeight="true" outlineLevel="0" collapsed="false">
      <c r="A494" s="26"/>
      <c r="C494" s="22"/>
      <c r="D494" s="22"/>
      <c r="E494" s="22"/>
      <c r="F494" s="22"/>
    </row>
    <row r="495" customFormat="false" ht="15" hidden="false" customHeight="true" outlineLevel="0" collapsed="false">
      <c r="A495" s="26"/>
      <c r="C495" s="22"/>
      <c r="D495" s="22"/>
      <c r="E495" s="22"/>
      <c r="F495" s="22"/>
    </row>
    <row r="496" customFormat="false" ht="15" hidden="false" customHeight="true" outlineLevel="0" collapsed="false">
      <c r="A496" s="26"/>
      <c r="C496" s="22"/>
      <c r="D496" s="22"/>
      <c r="E496" s="22"/>
      <c r="F496" s="22"/>
    </row>
    <row r="497" customFormat="false" ht="15" hidden="false" customHeight="true" outlineLevel="0" collapsed="false">
      <c r="A497" s="26"/>
      <c r="C497" s="22"/>
      <c r="D497" s="22"/>
      <c r="E497" s="22"/>
      <c r="F497" s="22"/>
    </row>
    <row r="498" customFormat="false" ht="15" hidden="false" customHeight="true" outlineLevel="0" collapsed="false">
      <c r="A498" s="26"/>
      <c r="C498" s="22"/>
      <c r="D498" s="22"/>
      <c r="E498" s="22"/>
      <c r="F498" s="22"/>
    </row>
    <row r="499" customFormat="false" ht="15" hidden="false" customHeight="true" outlineLevel="0" collapsed="false">
      <c r="A499" s="26"/>
      <c r="C499" s="22"/>
      <c r="D499" s="22"/>
      <c r="E499" s="22"/>
      <c r="F499" s="22"/>
    </row>
    <row r="500" customFormat="false" ht="15" hidden="false" customHeight="true" outlineLevel="0" collapsed="false">
      <c r="A500" s="26"/>
      <c r="C500" s="22"/>
      <c r="D500" s="22"/>
      <c r="E500" s="22"/>
      <c r="F500" s="22"/>
    </row>
    <row r="501" customFormat="false" ht="15" hidden="false" customHeight="true" outlineLevel="0" collapsed="false">
      <c r="A501" s="26"/>
      <c r="C501" s="22"/>
      <c r="D501" s="22"/>
      <c r="E501" s="22"/>
      <c r="F501" s="22"/>
    </row>
    <row r="502" customFormat="false" ht="15" hidden="false" customHeight="true" outlineLevel="0" collapsed="false">
      <c r="A502" s="26"/>
      <c r="C502" s="22"/>
      <c r="D502" s="22"/>
      <c r="E502" s="22"/>
      <c r="F502" s="22"/>
    </row>
    <row r="503" customFormat="false" ht="15" hidden="false" customHeight="true" outlineLevel="0" collapsed="false">
      <c r="A503" s="26"/>
      <c r="C503" s="22"/>
      <c r="D503" s="22"/>
      <c r="E503" s="22"/>
      <c r="F503" s="22"/>
    </row>
    <row r="504" customFormat="false" ht="15" hidden="false" customHeight="true" outlineLevel="0" collapsed="false">
      <c r="A504" s="26"/>
      <c r="C504" s="22"/>
      <c r="D504" s="22"/>
      <c r="E504" s="22"/>
      <c r="F504" s="22"/>
    </row>
    <row r="505" customFormat="false" ht="15" hidden="false" customHeight="true" outlineLevel="0" collapsed="false">
      <c r="A505" s="26"/>
      <c r="C505" s="22"/>
      <c r="D505" s="22"/>
      <c r="E505" s="22"/>
      <c r="F505" s="22"/>
    </row>
    <row r="506" customFormat="false" ht="15" hidden="false" customHeight="true" outlineLevel="0" collapsed="false">
      <c r="A506" s="26"/>
      <c r="C506" s="22"/>
      <c r="D506" s="22"/>
      <c r="E506" s="22"/>
      <c r="F506" s="22"/>
    </row>
    <row r="507" customFormat="false" ht="15" hidden="false" customHeight="true" outlineLevel="0" collapsed="false">
      <c r="A507" s="26"/>
      <c r="C507" s="22"/>
      <c r="D507" s="22"/>
      <c r="E507" s="22"/>
      <c r="F507" s="22"/>
    </row>
    <row r="508" customFormat="false" ht="15" hidden="false" customHeight="true" outlineLevel="0" collapsed="false">
      <c r="A508" s="26"/>
      <c r="C508" s="22"/>
      <c r="D508" s="22"/>
      <c r="E508" s="22"/>
      <c r="F508" s="22"/>
    </row>
    <row r="509" customFormat="false" ht="15" hidden="false" customHeight="true" outlineLevel="0" collapsed="false">
      <c r="A509" s="26"/>
      <c r="C509" s="22"/>
      <c r="D509" s="22"/>
      <c r="E509" s="22"/>
      <c r="F509" s="22"/>
    </row>
    <row r="510" customFormat="false" ht="15" hidden="false" customHeight="true" outlineLevel="0" collapsed="false">
      <c r="A510" s="26"/>
      <c r="C510" s="22"/>
      <c r="D510" s="22"/>
      <c r="E510" s="22"/>
      <c r="F510" s="22"/>
    </row>
    <row r="511" customFormat="false" ht="15" hidden="false" customHeight="true" outlineLevel="0" collapsed="false">
      <c r="A511" s="26"/>
      <c r="C511" s="22"/>
      <c r="D511" s="22"/>
      <c r="E511" s="22"/>
      <c r="F511" s="22"/>
    </row>
    <row r="512" customFormat="false" ht="15" hidden="false" customHeight="true" outlineLevel="0" collapsed="false">
      <c r="A512" s="26"/>
      <c r="C512" s="22"/>
      <c r="D512" s="22"/>
      <c r="E512" s="22"/>
      <c r="F512" s="22"/>
    </row>
    <row r="513" customFormat="false" ht="15" hidden="false" customHeight="true" outlineLevel="0" collapsed="false">
      <c r="A513" s="26"/>
      <c r="C513" s="22"/>
      <c r="D513" s="22"/>
      <c r="E513" s="22"/>
      <c r="F513" s="22"/>
    </row>
    <row r="514" customFormat="false" ht="15" hidden="false" customHeight="true" outlineLevel="0" collapsed="false">
      <c r="A514" s="26"/>
      <c r="C514" s="22"/>
      <c r="D514" s="22"/>
      <c r="E514" s="22"/>
      <c r="F514" s="22"/>
    </row>
    <row r="515" customFormat="false" ht="15" hidden="false" customHeight="true" outlineLevel="0" collapsed="false">
      <c r="A515" s="26"/>
      <c r="C515" s="22"/>
      <c r="D515" s="22"/>
      <c r="E515" s="22"/>
      <c r="F515" s="22"/>
    </row>
    <row r="516" customFormat="false" ht="15" hidden="false" customHeight="true" outlineLevel="0" collapsed="false">
      <c r="A516" s="26"/>
      <c r="C516" s="22"/>
      <c r="D516" s="22"/>
      <c r="E516" s="22"/>
      <c r="F516" s="22"/>
    </row>
    <row r="517" customFormat="false" ht="15" hidden="false" customHeight="true" outlineLevel="0" collapsed="false">
      <c r="A517" s="26"/>
      <c r="C517" s="22"/>
      <c r="D517" s="22"/>
      <c r="E517" s="22"/>
      <c r="F517" s="22"/>
    </row>
    <row r="518" customFormat="false" ht="15" hidden="false" customHeight="true" outlineLevel="0" collapsed="false">
      <c r="A518" s="26"/>
      <c r="C518" s="22"/>
      <c r="D518" s="22"/>
      <c r="E518" s="22"/>
      <c r="F518" s="22"/>
    </row>
    <row r="519" customFormat="false" ht="15" hidden="false" customHeight="true" outlineLevel="0" collapsed="false">
      <c r="A519" s="26"/>
      <c r="C519" s="22"/>
      <c r="D519" s="22"/>
      <c r="E519" s="22"/>
      <c r="F519" s="22"/>
    </row>
    <row r="520" customFormat="false" ht="15" hidden="false" customHeight="true" outlineLevel="0" collapsed="false">
      <c r="A520" s="26"/>
      <c r="C520" s="22"/>
      <c r="D520" s="22"/>
      <c r="E520" s="22"/>
      <c r="F520" s="22"/>
    </row>
    <row r="521" customFormat="false" ht="15" hidden="false" customHeight="true" outlineLevel="0" collapsed="false">
      <c r="A521" s="26"/>
      <c r="C521" s="22"/>
      <c r="D521" s="22"/>
      <c r="E521" s="22"/>
      <c r="F521" s="22"/>
    </row>
    <row r="522" customFormat="false" ht="15" hidden="false" customHeight="true" outlineLevel="0" collapsed="false">
      <c r="A522" s="26"/>
      <c r="C522" s="22"/>
      <c r="D522" s="22"/>
      <c r="E522" s="22"/>
      <c r="F522" s="22"/>
    </row>
    <row r="523" customFormat="false" ht="15" hidden="false" customHeight="true" outlineLevel="0" collapsed="false">
      <c r="A523" s="26"/>
      <c r="C523" s="22"/>
      <c r="D523" s="22"/>
      <c r="E523" s="22"/>
      <c r="F523" s="22"/>
    </row>
    <row r="524" customFormat="false" ht="15" hidden="false" customHeight="true" outlineLevel="0" collapsed="false">
      <c r="A524" s="26"/>
      <c r="C524" s="22"/>
      <c r="D524" s="22"/>
      <c r="E524" s="22"/>
      <c r="F524" s="22"/>
    </row>
    <row r="525" customFormat="false" ht="15" hidden="false" customHeight="true" outlineLevel="0" collapsed="false">
      <c r="A525" s="26"/>
      <c r="C525" s="22"/>
      <c r="D525" s="22"/>
      <c r="E525" s="22"/>
      <c r="F525" s="22"/>
    </row>
    <row r="526" customFormat="false" ht="15" hidden="false" customHeight="true" outlineLevel="0" collapsed="false">
      <c r="A526" s="26"/>
      <c r="C526" s="22"/>
      <c r="D526" s="22"/>
      <c r="E526" s="22"/>
      <c r="F526" s="22"/>
    </row>
    <row r="527" customFormat="false" ht="15" hidden="false" customHeight="true" outlineLevel="0" collapsed="false">
      <c r="A527" s="26"/>
      <c r="C527" s="22"/>
      <c r="D527" s="22"/>
      <c r="E527" s="22"/>
      <c r="F527" s="22"/>
    </row>
    <row r="528" customFormat="false" ht="15" hidden="false" customHeight="true" outlineLevel="0" collapsed="false">
      <c r="A528" s="26"/>
      <c r="C528" s="22"/>
      <c r="D528" s="22"/>
      <c r="E528" s="22"/>
      <c r="F528" s="22"/>
    </row>
    <row r="529" customFormat="false" ht="15" hidden="false" customHeight="true" outlineLevel="0" collapsed="false">
      <c r="A529" s="26"/>
      <c r="C529" s="22"/>
      <c r="D529" s="22"/>
      <c r="E529" s="22"/>
      <c r="F529" s="22"/>
    </row>
    <row r="530" customFormat="false" ht="15" hidden="false" customHeight="true" outlineLevel="0" collapsed="false">
      <c r="A530" s="26"/>
      <c r="C530" s="22"/>
      <c r="D530" s="22"/>
      <c r="E530" s="22"/>
      <c r="F530" s="22"/>
    </row>
    <row r="531" customFormat="false" ht="15" hidden="false" customHeight="true" outlineLevel="0" collapsed="false">
      <c r="A531" s="26"/>
      <c r="C531" s="22"/>
      <c r="D531" s="22"/>
      <c r="E531" s="22"/>
      <c r="F531" s="22"/>
    </row>
    <row r="532" customFormat="false" ht="15" hidden="false" customHeight="true" outlineLevel="0" collapsed="false">
      <c r="A532" s="26"/>
      <c r="C532" s="22"/>
      <c r="D532" s="22"/>
      <c r="E532" s="22"/>
      <c r="F532" s="22"/>
    </row>
    <row r="533" customFormat="false" ht="15" hidden="false" customHeight="true" outlineLevel="0" collapsed="false">
      <c r="A533" s="26"/>
      <c r="C533" s="22"/>
      <c r="D533" s="22"/>
      <c r="E533" s="22"/>
      <c r="F533" s="22"/>
    </row>
    <row r="534" customFormat="false" ht="15" hidden="false" customHeight="true" outlineLevel="0" collapsed="false">
      <c r="A534" s="26"/>
      <c r="C534" s="22"/>
      <c r="D534" s="22"/>
      <c r="E534" s="22"/>
      <c r="F534" s="22"/>
    </row>
    <row r="535" customFormat="false" ht="15" hidden="false" customHeight="true" outlineLevel="0" collapsed="false">
      <c r="A535" s="26"/>
      <c r="C535" s="22"/>
      <c r="D535" s="22"/>
      <c r="E535" s="22"/>
      <c r="F535" s="22"/>
    </row>
    <row r="536" customFormat="false" ht="15" hidden="false" customHeight="true" outlineLevel="0" collapsed="false">
      <c r="A536" s="26"/>
      <c r="C536" s="22"/>
      <c r="D536" s="22"/>
      <c r="E536" s="22"/>
      <c r="F536" s="22"/>
    </row>
    <row r="537" customFormat="false" ht="15" hidden="false" customHeight="true" outlineLevel="0" collapsed="false">
      <c r="A537" s="26"/>
      <c r="C537" s="22"/>
      <c r="D537" s="22"/>
      <c r="E537" s="22"/>
      <c r="F537" s="22"/>
    </row>
    <row r="538" customFormat="false" ht="15" hidden="false" customHeight="true" outlineLevel="0" collapsed="false">
      <c r="A538" s="26"/>
      <c r="C538" s="22"/>
      <c r="D538" s="22"/>
      <c r="E538" s="22"/>
      <c r="F538" s="22"/>
    </row>
    <row r="539" customFormat="false" ht="15" hidden="false" customHeight="true" outlineLevel="0" collapsed="false">
      <c r="A539" s="26"/>
      <c r="C539" s="22"/>
      <c r="D539" s="22"/>
      <c r="E539" s="22"/>
      <c r="F539" s="22"/>
    </row>
    <row r="540" customFormat="false" ht="15" hidden="false" customHeight="true" outlineLevel="0" collapsed="false">
      <c r="A540" s="26"/>
      <c r="C540" s="22"/>
      <c r="D540" s="22"/>
      <c r="E540" s="22"/>
      <c r="F540" s="22"/>
    </row>
    <row r="541" customFormat="false" ht="15" hidden="false" customHeight="true" outlineLevel="0" collapsed="false">
      <c r="A541" s="26"/>
      <c r="C541" s="22"/>
      <c r="D541" s="22"/>
      <c r="E541" s="22"/>
      <c r="F541" s="22"/>
    </row>
    <row r="542" customFormat="false" ht="15" hidden="false" customHeight="true" outlineLevel="0" collapsed="false">
      <c r="A542" s="26"/>
      <c r="C542" s="22"/>
      <c r="D542" s="22"/>
      <c r="E542" s="22"/>
      <c r="F542" s="22"/>
    </row>
    <row r="543" customFormat="false" ht="15" hidden="false" customHeight="true" outlineLevel="0" collapsed="false">
      <c r="A543" s="26"/>
      <c r="C543" s="22"/>
      <c r="D543" s="22"/>
      <c r="E543" s="22"/>
      <c r="F543" s="22"/>
    </row>
    <row r="544" customFormat="false" ht="15" hidden="false" customHeight="true" outlineLevel="0" collapsed="false">
      <c r="A544" s="26"/>
      <c r="C544" s="22"/>
      <c r="D544" s="22"/>
      <c r="E544" s="22"/>
      <c r="F544" s="22"/>
    </row>
    <row r="545" customFormat="false" ht="15" hidden="false" customHeight="true" outlineLevel="0" collapsed="false">
      <c r="A545" s="26"/>
      <c r="C545" s="22"/>
      <c r="D545" s="22"/>
      <c r="E545" s="22"/>
      <c r="F545" s="22"/>
    </row>
    <row r="546" customFormat="false" ht="15" hidden="false" customHeight="true" outlineLevel="0" collapsed="false">
      <c r="A546" s="26"/>
      <c r="C546" s="22"/>
      <c r="D546" s="22"/>
      <c r="E546" s="22"/>
      <c r="F546" s="22"/>
    </row>
    <row r="547" customFormat="false" ht="15" hidden="false" customHeight="true" outlineLevel="0" collapsed="false">
      <c r="A547" s="26"/>
      <c r="C547" s="22"/>
      <c r="D547" s="22"/>
      <c r="E547" s="22"/>
      <c r="F547" s="22"/>
    </row>
    <row r="548" customFormat="false" ht="15" hidden="false" customHeight="true" outlineLevel="0" collapsed="false">
      <c r="A548" s="26"/>
      <c r="C548" s="22"/>
      <c r="D548" s="22"/>
      <c r="E548" s="22"/>
      <c r="F548" s="22"/>
    </row>
    <row r="549" customFormat="false" ht="15" hidden="false" customHeight="true" outlineLevel="0" collapsed="false">
      <c r="A549" s="26"/>
      <c r="C549" s="22"/>
      <c r="D549" s="22"/>
      <c r="E549" s="22"/>
      <c r="F549" s="22"/>
    </row>
    <row r="550" customFormat="false" ht="15" hidden="false" customHeight="true" outlineLevel="0" collapsed="false">
      <c r="A550" s="26"/>
      <c r="C550" s="22"/>
      <c r="D550" s="22"/>
      <c r="E550" s="22"/>
      <c r="F550" s="22"/>
    </row>
    <row r="551" customFormat="false" ht="15" hidden="false" customHeight="true" outlineLevel="0" collapsed="false">
      <c r="A551" s="26"/>
      <c r="C551" s="22"/>
      <c r="D551" s="22"/>
      <c r="E551" s="22"/>
      <c r="F551" s="22"/>
    </row>
    <row r="552" customFormat="false" ht="15" hidden="false" customHeight="true" outlineLevel="0" collapsed="false">
      <c r="A552" s="26"/>
      <c r="C552" s="22"/>
      <c r="D552" s="22"/>
      <c r="E552" s="22"/>
      <c r="F552" s="22"/>
    </row>
    <row r="553" customFormat="false" ht="15" hidden="false" customHeight="true" outlineLevel="0" collapsed="false">
      <c r="A553" s="26"/>
      <c r="C553" s="22"/>
      <c r="D553" s="22"/>
      <c r="E553" s="22"/>
      <c r="F553" s="22"/>
    </row>
    <row r="554" customFormat="false" ht="15" hidden="false" customHeight="true" outlineLevel="0" collapsed="false">
      <c r="A554" s="26"/>
      <c r="C554" s="22"/>
      <c r="D554" s="22"/>
      <c r="E554" s="22"/>
      <c r="F554" s="22"/>
    </row>
    <row r="555" customFormat="false" ht="15" hidden="false" customHeight="true" outlineLevel="0" collapsed="false">
      <c r="A555" s="26"/>
      <c r="C555" s="22"/>
      <c r="D555" s="22"/>
      <c r="E555" s="22"/>
      <c r="F555" s="22"/>
    </row>
    <row r="556" customFormat="false" ht="15" hidden="false" customHeight="true" outlineLevel="0" collapsed="false">
      <c r="A556" s="26"/>
      <c r="C556" s="22"/>
      <c r="D556" s="22"/>
      <c r="E556" s="22"/>
      <c r="F556" s="22"/>
    </row>
    <row r="557" customFormat="false" ht="15" hidden="false" customHeight="true" outlineLevel="0" collapsed="false">
      <c r="A557" s="26"/>
      <c r="C557" s="22"/>
      <c r="D557" s="22"/>
      <c r="E557" s="22"/>
      <c r="F557" s="22"/>
    </row>
    <row r="558" customFormat="false" ht="15" hidden="false" customHeight="true" outlineLevel="0" collapsed="false">
      <c r="A558" s="26"/>
      <c r="C558" s="22"/>
      <c r="D558" s="22"/>
      <c r="E558" s="22"/>
      <c r="F558" s="22"/>
    </row>
    <row r="559" customFormat="false" ht="15" hidden="false" customHeight="true" outlineLevel="0" collapsed="false">
      <c r="A559" s="26"/>
      <c r="C559" s="22"/>
      <c r="D559" s="22"/>
      <c r="E559" s="22"/>
      <c r="F559" s="22"/>
    </row>
    <row r="560" customFormat="false" ht="15" hidden="false" customHeight="true" outlineLevel="0" collapsed="false">
      <c r="A560" s="26"/>
      <c r="C560" s="22"/>
      <c r="D560" s="22"/>
      <c r="E560" s="22"/>
      <c r="F560" s="22"/>
    </row>
    <row r="561" customFormat="false" ht="15" hidden="false" customHeight="true" outlineLevel="0" collapsed="false">
      <c r="A561" s="26"/>
      <c r="C561" s="22"/>
      <c r="D561" s="22"/>
      <c r="E561" s="22"/>
      <c r="F561" s="22"/>
    </row>
    <row r="562" customFormat="false" ht="15" hidden="false" customHeight="true" outlineLevel="0" collapsed="false">
      <c r="A562" s="26"/>
      <c r="C562" s="22"/>
      <c r="D562" s="22"/>
      <c r="E562" s="22"/>
      <c r="F562" s="22"/>
    </row>
    <row r="563" customFormat="false" ht="15" hidden="false" customHeight="true" outlineLevel="0" collapsed="false">
      <c r="A563" s="26"/>
      <c r="C563" s="22"/>
      <c r="D563" s="22"/>
      <c r="E563" s="22"/>
      <c r="F563" s="22"/>
    </row>
    <row r="564" customFormat="false" ht="15" hidden="false" customHeight="true" outlineLevel="0" collapsed="false">
      <c r="A564" s="26"/>
      <c r="C564" s="22"/>
      <c r="D564" s="22"/>
      <c r="E564" s="22"/>
      <c r="F564" s="22"/>
    </row>
    <row r="565" customFormat="false" ht="15" hidden="false" customHeight="true" outlineLevel="0" collapsed="false">
      <c r="A565" s="26"/>
      <c r="C565" s="22"/>
      <c r="D565" s="22"/>
      <c r="E565" s="22"/>
      <c r="F565" s="22"/>
    </row>
    <row r="566" customFormat="false" ht="15" hidden="false" customHeight="true" outlineLevel="0" collapsed="false">
      <c r="A566" s="26"/>
      <c r="C566" s="22"/>
      <c r="D566" s="22"/>
      <c r="E566" s="22"/>
      <c r="F566" s="22"/>
    </row>
    <row r="567" customFormat="false" ht="15" hidden="false" customHeight="true" outlineLevel="0" collapsed="false">
      <c r="A567" s="26"/>
      <c r="C567" s="22"/>
      <c r="D567" s="22"/>
      <c r="E567" s="22"/>
      <c r="F567" s="22"/>
    </row>
    <row r="568" customFormat="false" ht="15" hidden="false" customHeight="true" outlineLevel="0" collapsed="false">
      <c r="A568" s="26"/>
      <c r="C568" s="22"/>
      <c r="D568" s="22"/>
      <c r="E568" s="22"/>
      <c r="F568" s="22"/>
    </row>
    <row r="569" customFormat="false" ht="15" hidden="false" customHeight="true" outlineLevel="0" collapsed="false">
      <c r="A569" s="26"/>
      <c r="C569" s="22"/>
      <c r="D569" s="22"/>
      <c r="E569" s="22"/>
      <c r="F569" s="22"/>
    </row>
    <row r="570" customFormat="false" ht="15" hidden="false" customHeight="true" outlineLevel="0" collapsed="false">
      <c r="A570" s="26"/>
      <c r="C570" s="22"/>
      <c r="D570" s="22"/>
      <c r="E570" s="22"/>
      <c r="F570" s="22"/>
    </row>
    <row r="571" customFormat="false" ht="15" hidden="false" customHeight="true" outlineLevel="0" collapsed="false">
      <c r="A571" s="26"/>
      <c r="C571" s="22"/>
      <c r="D571" s="22"/>
      <c r="E571" s="22"/>
      <c r="F571" s="22"/>
    </row>
    <row r="572" customFormat="false" ht="15" hidden="false" customHeight="true" outlineLevel="0" collapsed="false">
      <c r="A572" s="26"/>
      <c r="C572" s="22"/>
      <c r="D572" s="22"/>
      <c r="E572" s="22"/>
      <c r="F572" s="22"/>
    </row>
    <row r="573" customFormat="false" ht="15" hidden="false" customHeight="true" outlineLevel="0" collapsed="false">
      <c r="A573" s="26"/>
      <c r="C573" s="22"/>
      <c r="D573" s="22"/>
      <c r="E573" s="22"/>
      <c r="F573" s="22"/>
    </row>
    <row r="574" customFormat="false" ht="15" hidden="false" customHeight="true" outlineLevel="0" collapsed="false">
      <c r="A574" s="26"/>
      <c r="C574" s="22"/>
      <c r="D574" s="22"/>
      <c r="E574" s="22"/>
      <c r="F574" s="22"/>
    </row>
    <row r="575" customFormat="false" ht="15" hidden="false" customHeight="true" outlineLevel="0" collapsed="false">
      <c r="A575" s="26"/>
      <c r="C575" s="22"/>
      <c r="D575" s="22"/>
      <c r="E575" s="22"/>
      <c r="F575" s="22"/>
    </row>
    <row r="576" customFormat="false" ht="15" hidden="false" customHeight="true" outlineLevel="0" collapsed="false">
      <c r="A576" s="26"/>
      <c r="C576" s="22"/>
      <c r="D576" s="22"/>
      <c r="E576" s="22"/>
      <c r="F576" s="22"/>
    </row>
    <row r="577" customFormat="false" ht="15" hidden="false" customHeight="true" outlineLevel="0" collapsed="false">
      <c r="A577" s="26"/>
      <c r="C577" s="22"/>
      <c r="D577" s="22"/>
      <c r="E577" s="22"/>
      <c r="F577" s="22"/>
    </row>
    <row r="578" customFormat="false" ht="15" hidden="false" customHeight="true" outlineLevel="0" collapsed="false">
      <c r="A578" s="26"/>
      <c r="C578" s="22"/>
      <c r="D578" s="22"/>
      <c r="E578" s="22"/>
      <c r="F578" s="22"/>
    </row>
    <row r="579" customFormat="false" ht="15" hidden="false" customHeight="true" outlineLevel="0" collapsed="false">
      <c r="A579" s="26"/>
      <c r="C579" s="22"/>
      <c r="D579" s="22"/>
      <c r="E579" s="22"/>
      <c r="F579" s="22"/>
    </row>
    <row r="580" customFormat="false" ht="15" hidden="false" customHeight="true" outlineLevel="0" collapsed="false">
      <c r="A580" s="26"/>
      <c r="C580" s="22"/>
      <c r="D580" s="22"/>
      <c r="E580" s="22"/>
      <c r="F580" s="22"/>
    </row>
    <row r="581" customFormat="false" ht="15" hidden="false" customHeight="true" outlineLevel="0" collapsed="false">
      <c r="A581" s="26"/>
      <c r="C581" s="22"/>
      <c r="D581" s="22"/>
      <c r="E581" s="22"/>
      <c r="F581" s="22"/>
    </row>
    <row r="582" customFormat="false" ht="15" hidden="false" customHeight="true" outlineLevel="0" collapsed="false">
      <c r="A582" s="26"/>
      <c r="C582" s="22"/>
      <c r="D582" s="22"/>
      <c r="E582" s="22"/>
      <c r="F582" s="22"/>
    </row>
    <row r="583" customFormat="false" ht="15" hidden="false" customHeight="true" outlineLevel="0" collapsed="false">
      <c r="A583" s="26"/>
      <c r="C583" s="22"/>
      <c r="D583" s="22"/>
      <c r="E583" s="22"/>
      <c r="F583" s="22"/>
    </row>
    <row r="584" customFormat="false" ht="15" hidden="false" customHeight="true" outlineLevel="0" collapsed="false">
      <c r="A584" s="26"/>
      <c r="C584" s="22"/>
      <c r="D584" s="22"/>
      <c r="E584" s="22"/>
      <c r="F584" s="22"/>
    </row>
    <row r="585" customFormat="false" ht="15" hidden="false" customHeight="true" outlineLevel="0" collapsed="false">
      <c r="A585" s="26"/>
      <c r="C585" s="22"/>
      <c r="D585" s="22"/>
      <c r="E585" s="22"/>
      <c r="F585" s="22"/>
    </row>
    <row r="586" customFormat="false" ht="15" hidden="false" customHeight="true" outlineLevel="0" collapsed="false">
      <c r="A586" s="26"/>
      <c r="C586" s="22"/>
      <c r="D586" s="22"/>
      <c r="E586" s="22"/>
      <c r="F586" s="22"/>
    </row>
    <row r="587" customFormat="false" ht="15" hidden="false" customHeight="true" outlineLevel="0" collapsed="false">
      <c r="A587" s="26"/>
      <c r="C587" s="22"/>
      <c r="D587" s="22"/>
      <c r="E587" s="22"/>
      <c r="F587" s="22"/>
    </row>
    <row r="588" customFormat="false" ht="15" hidden="false" customHeight="true" outlineLevel="0" collapsed="false">
      <c r="A588" s="26"/>
      <c r="C588" s="22"/>
      <c r="D588" s="22"/>
      <c r="E588" s="22"/>
      <c r="F588" s="22"/>
    </row>
    <row r="589" customFormat="false" ht="15" hidden="false" customHeight="true" outlineLevel="0" collapsed="false">
      <c r="A589" s="26"/>
      <c r="C589" s="22"/>
      <c r="D589" s="22"/>
      <c r="E589" s="22"/>
      <c r="F589" s="22"/>
    </row>
    <row r="590" customFormat="false" ht="15" hidden="false" customHeight="true" outlineLevel="0" collapsed="false">
      <c r="A590" s="26"/>
      <c r="C590" s="22"/>
      <c r="D590" s="22"/>
      <c r="E590" s="22"/>
      <c r="F590" s="22"/>
    </row>
    <row r="591" customFormat="false" ht="15" hidden="false" customHeight="true" outlineLevel="0" collapsed="false">
      <c r="A591" s="26"/>
      <c r="C591" s="22"/>
      <c r="D591" s="22"/>
      <c r="E591" s="22"/>
      <c r="F591" s="22"/>
    </row>
    <row r="592" customFormat="false" ht="15" hidden="false" customHeight="true" outlineLevel="0" collapsed="false">
      <c r="A592" s="26"/>
      <c r="C592" s="22"/>
      <c r="D592" s="22"/>
      <c r="E592" s="22"/>
      <c r="F592" s="22"/>
    </row>
    <row r="593" customFormat="false" ht="15" hidden="false" customHeight="true" outlineLevel="0" collapsed="false">
      <c r="A593" s="26"/>
      <c r="C593" s="22"/>
      <c r="D593" s="22"/>
      <c r="E593" s="22"/>
      <c r="F593" s="22"/>
    </row>
    <row r="594" customFormat="false" ht="15" hidden="false" customHeight="true" outlineLevel="0" collapsed="false">
      <c r="A594" s="26"/>
      <c r="C594" s="22"/>
      <c r="D594" s="22"/>
      <c r="E594" s="22"/>
      <c r="F594" s="22"/>
    </row>
    <row r="595" customFormat="false" ht="15" hidden="false" customHeight="true" outlineLevel="0" collapsed="false">
      <c r="A595" s="26"/>
      <c r="C595" s="22"/>
      <c r="D595" s="22"/>
      <c r="E595" s="22"/>
      <c r="F595" s="22"/>
    </row>
    <row r="596" customFormat="false" ht="15" hidden="false" customHeight="true" outlineLevel="0" collapsed="false">
      <c r="A596" s="26"/>
      <c r="C596" s="22"/>
      <c r="D596" s="22"/>
      <c r="E596" s="22"/>
      <c r="F596" s="22"/>
    </row>
    <row r="597" customFormat="false" ht="15" hidden="false" customHeight="true" outlineLevel="0" collapsed="false">
      <c r="A597" s="26"/>
      <c r="C597" s="22"/>
      <c r="D597" s="22"/>
      <c r="E597" s="22"/>
      <c r="F597" s="22"/>
    </row>
    <row r="598" customFormat="false" ht="15" hidden="false" customHeight="true" outlineLevel="0" collapsed="false">
      <c r="A598" s="26"/>
      <c r="C598" s="22"/>
      <c r="D598" s="22"/>
      <c r="E598" s="22"/>
      <c r="F598" s="22"/>
    </row>
    <row r="599" customFormat="false" ht="15" hidden="false" customHeight="true" outlineLevel="0" collapsed="false">
      <c r="A599" s="26"/>
      <c r="C599" s="22"/>
      <c r="D599" s="22"/>
      <c r="E599" s="22"/>
      <c r="F599" s="22"/>
    </row>
    <row r="600" customFormat="false" ht="15" hidden="false" customHeight="true" outlineLevel="0" collapsed="false">
      <c r="A600" s="26"/>
      <c r="C600" s="22"/>
      <c r="D600" s="22"/>
      <c r="E600" s="22"/>
      <c r="F600" s="22"/>
    </row>
    <row r="601" customFormat="false" ht="15" hidden="false" customHeight="true" outlineLevel="0" collapsed="false">
      <c r="A601" s="26"/>
      <c r="C601" s="22"/>
      <c r="D601" s="22"/>
      <c r="E601" s="22"/>
      <c r="F601" s="22"/>
    </row>
    <row r="602" customFormat="false" ht="15" hidden="false" customHeight="true" outlineLevel="0" collapsed="false">
      <c r="A602" s="26"/>
      <c r="C602" s="22"/>
      <c r="D602" s="22"/>
      <c r="E602" s="22"/>
      <c r="F602" s="22"/>
    </row>
    <row r="603" customFormat="false" ht="15" hidden="false" customHeight="true" outlineLevel="0" collapsed="false">
      <c r="A603" s="26"/>
      <c r="C603" s="22"/>
      <c r="D603" s="22"/>
      <c r="E603" s="22"/>
      <c r="F603" s="22"/>
    </row>
    <row r="604" customFormat="false" ht="15" hidden="false" customHeight="true" outlineLevel="0" collapsed="false">
      <c r="A604" s="26"/>
      <c r="C604" s="22"/>
      <c r="D604" s="22"/>
      <c r="E604" s="22"/>
      <c r="F604" s="22"/>
    </row>
    <row r="605" customFormat="false" ht="15" hidden="false" customHeight="true" outlineLevel="0" collapsed="false">
      <c r="A605" s="26"/>
      <c r="C605" s="22"/>
      <c r="D605" s="22"/>
      <c r="E605" s="22"/>
      <c r="F605" s="22"/>
    </row>
    <row r="606" customFormat="false" ht="15" hidden="false" customHeight="true" outlineLevel="0" collapsed="false">
      <c r="A606" s="26"/>
      <c r="C606" s="22"/>
      <c r="D606" s="22"/>
      <c r="E606" s="22"/>
      <c r="F606" s="22"/>
    </row>
    <row r="607" customFormat="false" ht="15" hidden="false" customHeight="true" outlineLevel="0" collapsed="false">
      <c r="A607" s="26"/>
      <c r="C607" s="22"/>
      <c r="D607" s="22"/>
      <c r="E607" s="22"/>
      <c r="F607" s="22"/>
    </row>
    <row r="608" customFormat="false" ht="15" hidden="false" customHeight="true" outlineLevel="0" collapsed="false">
      <c r="A608" s="26"/>
      <c r="C608" s="22"/>
      <c r="D608" s="22"/>
      <c r="E608" s="22"/>
      <c r="F608" s="22"/>
    </row>
    <row r="609" customFormat="false" ht="15" hidden="false" customHeight="true" outlineLevel="0" collapsed="false">
      <c r="A609" s="26"/>
      <c r="C609" s="22"/>
      <c r="D609" s="22"/>
      <c r="E609" s="22"/>
      <c r="F609" s="22"/>
    </row>
    <row r="610" customFormat="false" ht="15" hidden="false" customHeight="true" outlineLevel="0" collapsed="false">
      <c r="A610" s="26"/>
      <c r="C610" s="22"/>
      <c r="D610" s="22"/>
      <c r="E610" s="22"/>
      <c r="F610" s="22"/>
    </row>
    <row r="611" customFormat="false" ht="15" hidden="false" customHeight="true" outlineLevel="0" collapsed="false">
      <c r="A611" s="26"/>
      <c r="C611" s="22"/>
      <c r="D611" s="22"/>
      <c r="E611" s="22"/>
      <c r="F611" s="22"/>
    </row>
    <row r="612" customFormat="false" ht="15" hidden="false" customHeight="true" outlineLevel="0" collapsed="false">
      <c r="A612" s="26"/>
      <c r="C612" s="22"/>
      <c r="D612" s="22"/>
      <c r="E612" s="22"/>
      <c r="F612" s="22"/>
    </row>
    <row r="613" customFormat="false" ht="15" hidden="false" customHeight="true" outlineLevel="0" collapsed="false">
      <c r="A613" s="26"/>
      <c r="C613" s="22"/>
      <c r="D613" s="22"/>
      <c r="E613" s="22"/>
      <c r="F613" s="22"/>
    </row>
    <row r="614" customFormat="false" ht="15" hidden="false" customHeight="true" outlineLevel="0" collapsed="false">
      <c r="A614" s="26"/>
      <c r="C614" s="22"/>
      <c r="D614" s="22"/>
      <c r="E614" s="22"/>
      <c r="F614" s="22"/>
    </row>
    <row r="615" customFormat="false" ht="15" hidden="false" customHeight="true" outlineLevel="0" collapsed="false">
      <c r="A615" s="26"/>
      <c r="C615" s="22"/>
      <c r="D615" s="22"/>
      <c r="E615" s="22"/>
      <c r="F615" s="22"/>
    </row>
    <row r="616" customFormat="false" ht="15" hidden="false" customHeight="true" outlineLevel="0" collapsed="false">
      <c r="A616" s="26"/>
      <c r="C616" s="22"/>
      <c r="D616" s="22"/>
      <c r="E616" s="22"/>
      <c r="F616" s="22"/>
    </row>
    <row r="617" customFormat="false" ht="15" hidden="false" customHeight="true" outlineLevel="0" collapsed="false">
      <c r="A617" s="26"/>
      <c r="C617" s="22"/>
      <c r="D617" s="22"/>
      <c r="E617" s="22"/>
      <c r="F617" s="22"/>
    </row>
    <row r="618" customFormat="false" ht="15" hidden="false" customHeight="true" outlineLevel="0" collapsed="false">
      <c r="A618" s="26"/>
      <c r="C618" s="22"/>
      <c r="D618" s="22"/>
      <c r="E618" s="22"/>
      <c r="F618" s="22"/>
    </row>
    <row r="619" customFormat="false" ht="15" hidden="false" customHeight="true" outlineLevel="0" collapsed="false">
      <c r="A619" s="26"/>
      <c r="C619" s="22"/>
      <c r="D619" s="22"/>
      <c r="E619" s="22"/>
      <c r="F619" s="22"/>
    </row>
    <row r="620" customFormat="false" ht="15" hidden="false" customHeight="true" outlineLevel="0" collapsed="false">
      <c r="A620" s="26"/>
      <c r="C620" s="22"/>
      <c r="D620" s="22"/>
      <c r="E620" s="22"/>
      <c r="F620" s="22"/>
    </row>
    <row r="621" customFormat="false" ht="15" hidden="false" customHeight="true" outlineLevel="0" collapsed="false">
      <c r="A621" s="26"/>
      <c r="C621" s="22"/>
      <c r="D621" s="22"/>
      <c r="E621" s="22"/>
      <c r="F621" s="22"/>
    </row>
    <row r="622" customFormat="false" ht="15" hidden="false" customHeight="true" outlineLevel="0" collapsed="false">
      <c r="A622" s="26"/>
      <c r="C622" s="22"/>
      <c r="D622" s="22"/>
      <c r="E622" s="22"/>
      <c r="F622" s="22"/>
    </row>
    <row r="623" customFormat="false" ht="15" hidden="false" customHeight="true" outlineLevel="0" collapsed="false">
      <c r="A623" s="26"/>
      <c r="C623" s="22"/>
      <c r="D623" s="22"/>
      <c r="E623" s="22"/>
      <c r="F623" s="22"/>
    </row>
    <row r="624" customFormat="false" ht="15" hidden="false" customHeight="true" outlineLevel="0" collapsed="false">
      <c r="A624" s="26"/>
      <c r="C624" s="22"/>
      <c r="D624" s="22"/>
      <c r="E624" s="22"/>
      <c r="F624" s="22"/>
    </row>
    <row r="625" customFormat="false" ht="15" hidden="false" customHeight="true" outlineLevel="0" collapsed="false">
      <c r="A625" s="26"/>
      <c r="C625" s="22"/>
      <c r="D625" s="22"/>
      <c r="E625" s="22"/>
      <c r="F625" s="22"/>
    </row>
    <row r="626" customFormat="false" ht="15" hidden="false" customHeight="true" outlineLevel="0" collapsed="false">
      <c r="A626" s="26"/>
      <c r="C626" s="22"/>
      <c r="D626" s="22"/>
      <c r="E626" s="22"/>
      <c r="F626" s="22"/>
    </row>
    <row r="627" customFormat="false" ht="15" hidden="false" customHeight="true" outlineLevel="0" collapsed="false">
      <c r="A627" s="26"/>
      <c r="C627" s="22"/>
      <c r="D627" s="22"/>
      <c r="E627" s="22"/>
      <c r="F627" s="22"/>
    </row>
    <row r="628" customFormat="false" ht="15" hidden="false" customHeight="true" outlineLevel="0" collapsed="false">
      <c r="A628" s="26"/>
      <c r="C628" s="22"/>
      <c r="D628" s="22"/>
      <c r="E628" s="22"/>
      <c r="F628" s="22"/>
    </row>
    <row r="629" customFormat="false" ht="15" hidden="false" customHeight="true" outlineLevel="0" collapsed="false">
      <c r="A629" s="26"/>
      <c r="C629" s="22"/>
      <c r="D629" s="22"/>
      <c r="E629" s="22"/>
      <c r="F629" s="22"/>
    </row>
    <row r="630" customFormat="false" ht="15" hidden="false" customHeight="true" outlineLevel="0" collapsed="false">
      <c r="A630" s="26"/>
      <c r="C630" s="22"/>
      <c r="D630" s="22"/>
      <c r="E630" s="22"/>
      <c r="F630" s="22"/>
    </row>
    <row r="631" customFormat="false" ht="15" hidden="false" customHeight="true" outlineLevel="0" collapsed="false">
      <c r="A631" s="26"/>
      <c r="C631" s="22"/>
      <c r="D631" s="22"/>
      <c r="E631" s="22"/>
      <c r="F631" s="22"/>
    </row>
    <row r="632" customFormat="false" ht="15" hidden="false" customHeight="true" outlineLevel="0" collapsed="false">
      <c r="A632" s="26"/>
      <c r="C632" s="22"/>
      <c r="D632" s="22"/>
      <c r="E632" s="22"/>
      <c r="F632" s="22"/>
    </row>
    <row r="633" customFormat="false" ht="15" hidden="false" customHeight="true" outlineLevel="0" collapsed="false">
      <c r="A633" s="26"/>
      <c r="C633" s="22"/>
      <c r="D633" s="22"/>
      <c r="E633" s="22"/>
      <c r="F633" s="22"/>
    </row>
    <row r="634" customFormat="false" ht="15" hidden="false" customHeight="true" outlineLevel="0" collapsed="false">
      <c r="A634" s="26"/>
      <c r="C634" s="22"/>
      <c r="D634" s="22"/>
      <c r="E634" s="22"/>
      <c r="F634" s="22"/>
    </row>
    <row r="635" customFormat="false" ht="15" hidden="false" customHeight="true" outlineLevel="0" collapsed="false">
      <c r="A635" s="26"/>
      <c r="C635" s="22"/>
      <c r="D635" s="22"/>
      <c r="E635" s="22"/>
      <c r="F635" s="22"/>
    </row>
    <row r="636" customFormat="false" ht="15" hidden="false" customHeight="true" outlineLevel="0" collapsed="false">
      <c r="A636" s="26"/>
      <c r="C636" s="22"/>
      <c r="D636" s="22"/>
      <c r="E636" s="22"/>
      <c r="F636" s="22"/>
    </row>
    <row r="637" customFormat="false" ht="15" hidden="false" customHeight="true" outlineLevel="0" collapsed="false">
      <c r="A637" s="26"/>
      <c r="C637" s="22"/>
      <c r="D637" s="22"/>
      <c r="E637" s="22"/>
      <c r="F637" s="22"/>
    </row>
    <row r="638" customFormat="false" ht="15" hidden="false" customHeight="true" outlineLevel="0" collapsed="false">
      <c r="A638" s="26"/>
      <c r="C638" s="22"/>
      <c r="D638" s="22"/>
      <c r="E638" s="22"/>
      <c r="F638" s="22"/>
    </row>
    <row r="639" customFormat="false" ht="15" hidden="false" customHeight="true" outlineLevel="0" collapsed="false">
      <c r="A639" s="26"/>
      <c r="C639" s="22"/>
      <c r="D639" s="22"/>
      <c r="E639" s="22"/>
      <c r="F639" s="22"/>
    </row>
    <row r="640" customFormat="false" ht="15" hidden="false" customHeight="true" outlineLevel="0" collapsed="false">
      <c r="A640" s="26"/>
      <c r="C640" s="22"/>
      <c r="D640" s="22"/>
      <c r="E640" s="22"/>
      <c r="F640" s="22"/>
    </row>
    <row r="641" customFormat="false" ht="15" hidden="false" customHeight="true" outlineLevel="0" collapsed="false">
      <c r="A641" s="26"/>
      <c r="C641" s="22"/>
      <c r="D641" s="22"/>
      <c r="E641" s="22"/>
      <c r="F641" s="22"/>
    </row>
    <row r="642" customFormat="false" ht="15" hidden="false" customHeight="true" outlineLevel="0" collapsed="false">
      <c r="A642" s="26"/>
      <c r="C642" s="22"/>
      <c r="D642" s="22"/>
      <c r="E642" s="22"/>
      <c r="F642" s="22"/>
    </row>
    <row r="643" customFormat="false" ht="15" hidden="false" customHeight="true" outlineLevel="0" collapsed="false">
      <c r="A643" s="26"/>
      <c r="C643" s="22"/>
      <c r="D643" s="22"/>
      <c r="E643" s="22"/>
      <c r="F643" s="22"/>
    </row>
    <row r="644" customFormat="false" ht="15" hidden="false" customHeight="true" outlineLevel="0" collapsed="false">
      <c r="A644" s="26"/>
      <c r="C644" s="22"/>
      <c r="D644" s="22"/>
      <c r="E644" s="22"/>
      <c r="F644" s="22"/>
    </row>
    <row r="645" customFormat="false" ht="15" hidden="false" customHeight="true" outlineLevel="0" collapsed="false">
      <c r="A645" s="26"/>
      <c r="C645" s="22"/>
      <c r="D645" s="22"/>
      <c r="E645" s="22"/>
      <c r="F645" s="22"/>
    </row>
    <row r="646" customFormat="false" ht="15" hidden="false" customHeight="true" outlineLevel="0" collapsed="false">
      <c r="A646" s="26"/>
      <c r="C646" s="22"/>
      <c r="D646" s="22"/>
      <c r="E646" s="22"/>
      <c r="F646" s="22"/>
    </row>
    <row r="647" customFormat="false" ht="15" hidden="false" customHeight="true" outlineLevel="0" collapsed="false">
      <c r="A647" s="26"/>
      <c r="C647" s="22"/>
      <c r="D647" s="22"/>
      <c r="E647" s="22"/>
      <c r="F647" s="22"/>
    </row>
    <row r="648" customFormat="false" ht="15" hidden="false" customHeight="true" outlineLevel="0" collapsed="false">
      <c r="A648" s="26"/>
      <c r="C648" s="22"/>
      <c r="D648" s="22"/>
      <c r="E648" s="22"/>
      <c r="F648" s="22"/>
    </row>
    <row r="649" customFormat="false" ht="15" hidden="false" customHeight="true" outlineLevel="0" collapsed="false">
      <c r="A649" s="26"/>
      <c r="C649" s="22"/>
      <c r="D649" s="22"/>
      <c r="E649" s="22"/>
      <c r="F649" s="22"/>
    </row>
    <row r="650" customFormat="false" ht="15" hidden="false" customHeight="true" outlineLevel="0" collapsed="false">
      <c r="A650" s="26"/>
      <c r="C650" s="22"/>
      <c r="D650" s="22"/>
      <c r="E650" s="22"/>
      <c r="F650" s="22"/>
    </row>
    <row r="651" customFormat="false" ht="15" hidden="false" customHeight="true" outlineLevel="0" collapsed="false">
      <c r="A651" s="26"/>
      <c r="C651" s="22"/>
      <c r="D651" s="22"/>
      <c r="E651" s="22"/>
      <c r="F651" s="22"/>
    </row>
    <row r="652" customFormat="false" ht="15" hidden="false" customHeight="true" outlineLevel="0" collapsed="false">
      <c r="A652" s="26"/>
      <c r="C652" s="22"/>
      <c r="D652" s="22"/>
      <c r="E652" s="22"/>
      <c r="F652" s="22"/>
    </row>
    <row r="653" customFormat="false" ht="15" hidden="false" customHeight="true" outlineLevel="0" collapsed="false">
      <c r="A653" s="26"/>
      <c r="C653" s="22"/>
      <c r="D653" s="22"/>
      <c r="E653" s="22"/>
      <c r="F653" s="22"/>
    </row>
    <row r="654" customFormat="false" ht="15" hidden="false" customHeight="true" outlineLevel="0" collapsed="false">
      <c r="A654" s="26"/>
      <c r="C654" s="22"/>
      <c r="D654" s="22"/>
      <c r="E654" s="22"/>
      <c r="F654" s="22"/>
    </row>
    <row r="655" customFormat="false" ht="15" hidden="false" customHeight="true" outlineLevel="0" collapsed="false">
      <c r="A655" s="26"/>
      <c r="C655" s="22"/>
      <c r="D655" s="22"/>
      <c r="E655" s="22"/>
      <c r="F655" s="22"/>
    </row>
    <row r="656" customFormat="false" ht="15" hidden="false" customHeight="true" outlineLevel="0" collapsed="false">
      <c r="A656" s="26"/>
      <c r="C656" s="22"/>
      <c r="D656" s="22"/>
      <c r="E656" s="22"/>
      <c r="F656" s="22"/>
    </row>
    <row r="657" customFormat="false" ht="15" hidden="false" customHeight="true" outlineLevel="0" collapsed="false">
      <c r="A657" s="26"/>
      <c r="C657" s="22"/>
      <c r="D657" s="22"/>
      <c r="E657" s="22"/>
      <c r="F657" s="22"/>
    </row>
    <row r="658" customFormat="false" ht="15" hidden="false" customHeight="true" outlineLevel="0" collapsed="false">
      <c r="A658" s="26"/>
      <c r="C658" s="22"/>
      <c r="D658" s="22"/>
      <c r="E658" s="22"/>
      <c r="F658" s="22"/>
    </row>
    <row r="659" customFormat="false" ht="15" hidden="false" customHeight="true" outlineLevel="0" collapsed="false">
      <c r="A659" s="26"/>
      <c r="C659" s="22"/>
      <c r="D659" s="22"/>
      <c r="E659" s="22"/>
      <c r="F659" s="22"/>
    </row>
    <row r="660" customFormat="false" ht="15" hidden="false" customHeight="true" outlineLevel="0" collapsed="false">
      <c r="A660" s="26"/>
      <c r="C660" s="22"/>
      <c r="D660" s="22"/>
      <c r="E660" s="22"/>
      <c r="F660" s="22"/>
    </row>
    <row r="661" customFormat="false" ht="15" hidden="false" customHeight="true" outlineLevel="0" collapsed="false">
      <c r="A661" s="26"/>
      <c r="C661" s="22"/>
      <c r="D661" s="22"/>
      <c r="E661" s="22"/>
      <c r="F661" s="22"/>
    </row>
    <row r="662" customFormat="false" ht="15" hidden="false" customHeight="true" outlineLevel="0" collapsed="false">
      <c r="A662" s="26"/>
      <c r="C662" s="22"/>
      <c r="D662" s="22"/>
      <c r="E662" s="22"/>
      <c r="F662" s="22"/>
    </row>
    <row r="663" customFormat="false" ht="15" hidden="false" customHeight="true" outlineLevel="0" collapsed="false">
      <c r="A663" s="26"/>
      <c r="C663" s="22"/>
      <c r="D663" s="22"/>
      <c r="E663" s="22"/>
      <c r="F663" s="22"/>
    </row>
    <row r="664" customFormat="false" ht="15" hidden="false" customHeight="true" outlineLevel="0" collapsed="false">
      <c r="A664" s="26"/>
      <c r="C664" s="22"/>
      <c r="D664" s="22"/>
      <c r="E664" s="22"/>
      <c r="F664" s="22"/>
    </row>
    <row r="665" customFormat="false" ht="15" hidden="false" customHeight="true" outlineLevel="0" collapsed="false">
      <c r="A665" s="26"/>
      <c r="C665" s="22"/>
      <c r="D665" s="22"/>
      <c r="E665" s="22"/>
      <c r="F665" s="22"/>
    </row>
    <row r="666" customFormat="false" ht="15" hidden="false" customHeight="true" outlineLevel="0" collapsed="false">
      <c r="A666" s="26"/>
      <c r="C666" s="22"/>
      <c r="D666" s="22"/>
      <c r="E666" s="22"/>
      <c r="F666" s="22"/>
    </row>
    <row r="667" customFormat="false" ht="15" hidden="false" customHeight="true" outlineLevel="0" collapsed="false">
      <c r="A667" s="26"/>
      <c r="C667" s="22"/>
      <c r="D667" s="22"/>
      <c r="E667" s="22"/>
      <c r="F667" s="22"/>
    </row>
    <row r="668" customFormat="false" ht="15" hidden="false" customHeight="true" outlineLevel="0" collapsed="false">
      <c r="A668" s="26"/>
      <c r="C668" s="22"/>
      <c r="D668" s="22"/>
      <c r="E668" s="22"/>
      <c r="F668" s="22"/>
    </row>
    <row r="669" customFormat="false" ht="15" hidden="false" customHeight="true" outlineLevel="0" collapsed="false">
      <c r="A669" s="26"/>
      <c r="C669" s="22"/>
      <c r="D669" s="22"/>
      <c r="E669" s="22"/>
      <c r="F669" s="22"/>
    </row>
    <row r="670" customFormat="false" ht="15" hidden="false" customHeight="true" outlineLevel="0" collapsed="false">
      <c r="A670" s="26"/>
      <c r="C670" s="22"/>
      <c r="D670" s="22"/>
      <c r="E670" s="22"/>
      <c r="F670" s="22"/>
    </row>
    <row r="671" customFormat="false" ht="15" hidden="false" customHeight="true" outlineLevel="0" collapsed="false">
      <c r="A671" s="26"/>
      <c r="C671" s="22"/>
      <c r="D671" s="22"/>
      <c r="E671" s="22"/>
      <c r="F671" s="22"/>
    </row>
    <row r="672" customFormat="false" ht="15" hidden="false" customHeight="true" outlineLevel="0" collapsed="false">
      <c r="A672" s="26"/>
      <c r="C672" s="22"/>
      <c r="D672" s="22"/>
      <c r="E672" s="22"/>
      <c r="F672" s="22"/>
    </row>
    <row r="673" customFormat="false" ht="15" hidden="false" customHeight="true" outlineLevel="0" collapsed="false">
      <c r="A673" s="26"/>
      <c r="C673" s="22"/>
      <c r="D673" s="22"/>
      <c r="E673" s="22"/>
      <c r="F673" s="22"/>
    </row>
    <row r="674" customFormat="false" ht="15" hidden="false" customHeight="true" outlineLevel="0" collapsed="false">
      <c r="A674" s="26"/>
      <c r="C674" s="22"/>
      <c r="D674" s="22"/>
      <c r="E674" s="22"/>
      <c r="F674" s="22"/>
    </row>
    <row r="675" customFormat="false" ht="15" hidden="false" customHeight="true" outlineLevel="0" collapsed="false">
      <c r="A675" s="26"/>
      <c r="C675" s="22"/>
      <c r="D675" s="22"/>
      <c r="E675" s="22"/>
      <c r="F675" s="22"/>
    </row>
    <row r="676" customFormat="false" ht="15" hidden="false" customHeight="true" outlineLevel="0" collapsed="false">
      <c r="A676" s="26"/>
      <c r="C676" s="22"/>
      <c r="D676" s="22"/>
      <c r="E676" s="22"/>
      <c r="F676" s="22"/>
    </row>
    <row r="677" customFormat="false" ht="15" hidden="false" customHeight="true" outlineLevel="0" collapsed="false">
      <c r="A677" s="26"/>
      <c r="C677" s="22"/>
      <c r="D677" s="22"/>
      <c r="E677" s="22"/>
      <c r="F677" s="22"/>
    </row>
    <row r="678" customFormat="false" ht="15" hidden="false" customHeight="true" outlineLevel="0" collapsed="false">
      <c r="A678" s="26"/>
      <c r="C678" s="22"/>
      <c r="D678" s="22"/>
      <c r="E678" s="22"/>
      <c r="F678" s="22"/>
    </row>
    <row r="679" customFormat="false" ht="15" hidden="false" customHeight="true" outlineLevel="0" collapsed="false">
      <c r="A679" s="26"/>
      <c r="C679" s="22"/>
      <c r="D679" s="22"/>
      <c r="E679" s="22"/>
      <c r="F679" s="22"/>
    </row>
    <row r="680" customFormat="false" ht="15" hidden="false" customHeight="true" outlineLevel="0" collapsed="false">
      <c r="A680" s="26"/>
      <c r="C680" s="22"/>
      <c r="D680" s="22"/>
      <c r="E680" s="22"/>
      <c r="F680" s="22"/>
    </row>
    <row r="681" customFormat="false" ht="15" hidden="false" customHeight="true" outlineLevel="0" collapsed="false">
      <c r="A681" s="26"/>
      <c r="C681" s="22"/>
      <c r="D681" s="22"/>
      <c r="E681" s="22"/>
      <c r="F681" s="22"/>
    </row>
    <row r="682" customFormat="false" ht="15" hidden="false" customHeight="true" outlineLevel="0" collapsed="false">
      <c r="A682" s="26"/>
      <c r="C682" s="22"/>
      <c r="D682" s="22"/>
      <c r="E682" s="22"/>
      <c r="F682" s="22"/>
    </row>
    <row r="683" customFormat="false" ht="15" hidden="false" customHeight="true" outlineLevel="0" collapsed="false">
      <c r="A683" s="26"/>
      <c r="C683" s="22"/>
      <c r="D683" s="22"/>
      <c r="E683" s="22"/>
      <c r="F683" s="22"/>
    </row>
    <row r="684" customFormat="false" ht="15" hidden="false" customHeight="true" outlineLevel="0" collapsed="false">
      <c r="A684" s="26"/>
      <c r="C684" s="22"/>
      <c r="D684" s="22"/>
      <c r="E684" s="22"/>
      <c r="F684" s="22"/>
    </row>
    <row r="685" customFormat="false" ht="15" hidden="false" customHeight="true" outlineLevel="0" collapsed="false">
      <c r="A685" s="26"/>
      <c r="C685" s="22"/>
      <c r="D685" s="22"/>
      <c r="E685" s="22"/>
      <c r="F685" s="22"/>
    </row>
    <row r="686" customFormat="false" ht="15" hidden="false" customHeight="true" outlineLevel="0" collapsed="false">
      <c r="A686" s="26"/>
      <c r="C686" s="22"/>
      <c r="D686" s="22"/>
      <c r="E686" s="22"/>
      <c r="F686" s="22"/>
    </row>
    <row r="687" customFormat="false" ht="15" hidden="false" customHeight="true" outlineLevel="0" collapsed="false">
      <c r="A687" s="26"/>
      <c r="C687" s="22"/>
      <c r="D687" s="22"/>
      <c r="E687" s="22"/>
      <c r="F687" s="22"/>
    </row>
    <row r="688" customFormat="false" ht="15" hidden="false" customHeight="true" outlineLevel="0" collapsed="false">
      <c r="A688" s="26"/>
      <c r="C688" s="22"/>
      <c r="D688" s="22"/>
      <c r="E688" s="22"/>
      <c r="F688" s="22"/>
    </row>
    <row r="689" customFormat="false" ht="15" hidden="false" customHeight="true" outlineLevel="0" collapsed="false">
      <c r="A689" s="26"/>
      <c r="C689" s="22"/>
      <c r="D689" s="22"/>
      <c r="E689" s="22"/>
      <c r="F689" s="22"/>
    </row>
    <row r="690" customFormat="false" ht="15" hidden="false" customHeight="true" outlineLevel="0" collapsed="false">
      <c r="A690" s="26"/>
      <c r="C690" s="22"/>
      <c r="D690" s="22"/>
      <c r="E690" s="22"/>
      <c r="F690" s="22"/>
    </row>
    <row r="691" customFormat="false" ht="15" hidden="false" customHeight="true" outlineLevel="0" collapsed="false">
      <c r="A691" s="26"/>
      <c r="C691" s="22"/>
      <c r="D691" s="22"/>
      <c r="E691" s="22"/>
      <c r="F691" s="22"/>
    </row>
    <row r="692" customFormat="false" ht="15" hidden="false" customHeight="true" outlineLevel="0" collapsed="false">
      <c r="A692" s="26"/>
      <c r="C692" s="22"/>
      <c r="D692" s="22"/>
      <c r="E692" s="22"/>
      <c r="F692" s="22"/>
    </row>
    <row r="693" customFormat="false" ht="15" hidden="false" customHeight="true" outlineLevel="0" collapsed="false">
      <c r="A693" s="26"/>
      <c r="C693" s="22"/>
      <c r="D693" s="22"/>
      <c r="E693" s="22"/>
      <c r="F693" s="22"/>
    </row>
    <row r="694" customFormat="false" ht="15" hidden="false" customHeight="true" outlineLevel="0" collapsed="false">
      <c r="A694" s="26"/>
      <c r="C694" s="22"/>
      <c r="D694" s="22"/>
      <c r="E694" s="22"/>
      <c r="F694" s="22"/>
    </row>
    <row r="695" customFormat="false" ht="15" hidden="false" customHeight="true" outlineLevel="0" collapsed="false">
      <c r="A695" s="26"/>
      <c r="C695" s="22"/>
      <c r="D695" s="22"/>
      <c r="E695" s="22"/>
      <c r="F695" s="22"/>
    </row>
    <row r="696" customFormat="false" ht="15" hidden="false" customHeight="true" outlineLevel="0" collapsed="false">
      <c r="A696" s="26"/>
      <c r="C696" s="22"/>
      <c r="D696" s="22"/>
      <c r="E696" s="22"/>
      <c r="F696" s="22"/>
    </row>
    <row r="697" customFormat="false" ht="15" hidden="false" customHeight="true" outlineLevel="0" collapsed="false">
      <c r="A697" s="26"/>
      <c r="C697" s="22"/>
      <c r="D697" s="22"/>
      <c r="E697" s="22"/>
      <c r="F697" s="22"/>
    </row>
    <row r="698" customFormat="false" ht="15" hidden="false" customHeight="true" outlineLevel="0" collapsed="false">
      <c r="A698" s="26"/>
      <c r="C698" s="22"/>
      <c r="D698" s="22"/>
      <c r="E698" s="22"/>
      <c r="F698" s="22"/>
    </row>
    <row r="699" customFormat="false" ht="15" hidden="false" customHeight="true" outlineLevel="0" collapsed="false">
      <c r="A699" s="26"/>
      <c r="C699" s="22"/>
      <c r="D699" s="22"/>
      <c r="E699" s="22"/>
      <c r="F699" s="22"/>
    </row>
    <row r="700" customFormat="false" ht="15" hidden="false" customHeight="true" outlineLevel="0" collapsed="false">
      <c r="A700" s="26"/>
      <c r="C700" s="22"/>
      <c r="D700" s="22"/>
      <c r="E700" s="22"/>
      <c r="F700" s="22"/>
    </row>
    <row r="701" customFormat="false" ht="15" hidden="false" customHeight="true" outlineLevel="0" collapsed="false">
      <c r="A701" s="26"/>
      <c r="C701" s="22"/>
      <c r="D701" s="22"/>
      <c r="E701" s="22"/>
      <c r="F701" s="22"/>
    </row>
    <row r="702" customFormat="false" ht="15" hidden="false" customHeight="true" outlineLevel="0" collapsed="false">
      <c r="A702" s="26"/>
      <c r="C702" s="22"/>
      <c r="D702" s="22"/>
      <c r="E702" s="22"/>
      <c r="F702" s="22"/>
    </row>
    <row r="703" customFormat="false" ht="15" hidden="false" customHeight="true" outlineLevel="0" collapsed="false">
      <c r="A703" s="26"/>
      <c r="C703" s="22"/>
      <c r="D703" s="22"/>
      <c r="E703" s="22"/>
      <c r="F703" s="22"/>
    </row>
    <row r="704" customFormat="false" ht="15" hidden="false" customHeight="true" outlineLevel="0" collapsed="false">
      <c r="A704" s="26"/>
      <c r="C704" s="22"/>
      <c r="D704" s="22"/>
      <c r="E704" s="22"/>
      <c r="F704" s="22"/>
    </row>
    <row r="705" customFormat="false" ht="15" hidden="false" customHeight="true" outlineLevel="0" collapsed="false">
      <c r="A705" s="26"/>
      <c r="C705" s="22"/>
      <c r="D705" s="22"/>
      <c r="E705" s="22"/>
      <c r="F705" s="22"/>
    </row>
    <row r="706" customFormat="false" ht="15" hidden="false" customHeight="true" outlineLevel="0" collapsed="false">
      <c r="A706" s="26"/>
      <c r="C706" s="22"/>
      <c r="D706" s="22"/>
      <c r="E706" s="22"/>
      <c r="F706" s="22"/>
    </row>
    <row r="707" customFormat="false" ht="15" hidden="false" customHeight="true" outlineLevel="0" collapsed="false">
      <c r="A707" s="26"/>
      <c r="C707" s="22"/>
      <c r="D707" s="22"/>
      <c r="E707" s="22"/>
      <c r="F707" s="22"/>
    </row>
    <row r="708" customFormat="false" ht="15" hidden="false" customHeight="true" outlineLevel="0" collapsed="false">
      <c r="A708" s="26"/>
      <c r="C708" s="22"/>
      <c r="D708" s="22"/>
      <c r="E708" s="22"/>
      <c r="F708" s="22"/>
    </row>
    <row r="709" customFormat="false" ht="15" hidden="false" customHeight="true" outlineLevel="0" collapsed="false">
      <c r="A709" s="26"/>
      <c r="C709" s="22"/>
      <c r="D709" s="22"/>
      <c r="E709" s="22"/>
      <c r="F709" s="22"/>
    </row>
    <row r="710" customFormat="false" ht="15" hidden="false" customHeight="true" outlineLevel="0" collapsed="false">
      <c r="A710" s="26"/>
      <c r="C710" s="22"/>
      <c r="D710" s="22"/>
      <c r="E710" s="22"/>
      <c r="F710" s="22"/>
    </row>
    <row r="711" customFormat="false" ht="15" hidden="false" customHeight="true" outlineLevel="0" collapsed="false">
      <c r="A711" s="26"/>
      <c r="C711" s="22"/>
      <c r="D711" s="22"/>
      <c r="E711" s="22"/>
      <c r="F711" s="22"/>
    </row>
    <row r="712" customFormat="false" ht="15" hidden="false" customHeight="true" outlineLevel="0" collapsed="false">
      <c r="A712" s="26"/>
      <c r="C712" s="22"/>
      <c r="D712" s="22"/>
      <c r="E712" s="22"/>
      <c r="F712" s="22"/>
    </row>
    <row r="713" customFormat="false" ht="15" hidden="false" customHeight="true" outlineLevel="0" collapsed="false">
      <c r="A713" s="26"/>
      <c r="C713" s="22"/>
      <c r="D713" s="22"/>
      <c r="E713" s="22"/>
      <c r="F713" s="22"/>
    </row>
    <row r="714" customFormat="false" ht="15" hidden="false" customHeight="true" outlineLevel="0" collapsed="false">
      <c r="A714" s="26"/>
      <c r="C714" s="22"/>
      <c r="D714" s="22"/>
      <c r="E714" s="22"/>
      <c r="F714" s="22"/>
    </row>
    <row r="715" customFormat="false" ht="15" hidden="false" customHeight="true" outlineLevel="0" collapsed="false">
      <c r="A715" s="26"/>
      <c r="C715" s="22"/>
      <c r="D715" s="22"/>
      <c r="E715" s="22"/>
      <c r="F715" s="22"/>
    </row>
    <row r="716" customFormat="false" ht="15" hidden="false" customHeight="true" outlineLevel="0" collapsed="false">
      <c r="A716" s="26"/>
      <c r="C716" s="22"/>
      <c r="D716" s="22"/>
      <c r="E716" s="22"/>
      <c r="F716" s="22"/>
    </row>
    <row r="717" customFormat="false" ht="15" hidden="false" customHeight="true" outlineLevel="0" collapsed="false">
      <c r="A717" s="26"/>
      <c r="C717" s="22"/>
      <c r="D717" s="22"/>
      <c r="E717" s="22"/>
      <c r="F717" s="22"/>
    </row>
    <row r="718" customFormat="false" ht="15" hidden="false" customHeight="true" outlineLevel="0" collapsed="false">
      <c r="A718" s="26"/>
      <c r="C718" s="22"/>
      <c r="D718" s="22"/>
      <c r="E718" s="22"/>
      <c r="F718" s="22"/>
    </row>
    <row r="719" customFormat="false" ht="15" hidden="false" customHeight="true" outlineLevel="0" collapsed="false">
      <c r="A719" s="26"/>
      <c r="C719" s="22"/>
      <c r="D719" s="22"/>
      <c r="E719" s="22"/>
      <c r="F719" s="22"/>
    </row>
    <row r="720" customFormat="false" ht="15" hidden="false" customHeight="true" outlineLevel="0" collapsed="false">
      <c r="A720" s="26"/>
      <c r="C720" s="22"/>
      <c r="D720" s="22"/>
      <c r="E720" s="22"/>
      <c r="F720" s="22"/>
    </row>
    <row r="721" customFormat="false" ht="15" hidden="false" customHeight="true" outlineLevel="0" collapsed="false">
      <c r="A721" s="26"/>
      <c r="C721" s="22"/>
      <c r="D721" s="22"/>
      <c r="E721" s="22"/>
      <c r="F721" s="22"/>
    </row>
    <row r="722" customFormat="false" ht="15" hidden="false" customHeight="true" outlineLevel="0" collapsed="false">
      <c r="A722" s="26"/>
      <c r="C722" s="22"/>
      <c r="D722" s="22"/>
      <c r="E722" s="22"/>
      <c r="F722" s="22"/>
    </row>
    <row r="723" customFormat="false" ht="15" hidden="false" customHeight="true" outlineLevel="0" collapsed="false">
      <c r="A723" s="26"/>
      <c r="C723" s="22"/>
      <c r="D723" s="22"/>
      <c r="E723" s="22"/>
      <c r="F723" s="22"/>
    </row>
    <row r="724" customFormat="false" ht="15" hidden="false" customHeight="true" outlineLevel="0" collapsed="false">
      <c r="A724" s="26"/>
      <c r="C724" s="22"/>
      <c r="D724" s="22"/>
      <c r="E724" s="22"/>
      <c r="F724" s="22"/>
    </row>
    <row r="725" customFormat="false" ht="15" hidden="false" customHeight="true" outlineLevel="0" collapsed="false">
      <c r="A725" s="26"/>
      <c r="C725" s="22"/>
      <c r="D725" s="22"/>
      <c r="E725" s="22"/>
      <c r="F725" s="22"/>
    </row>
    <row r="726" customFormat="false" ht="15" hidden="false" customHeight="true" outlineLevel="0" collapsed="false">
      <c r="A726" s="26"/>
      <c r="C726" s="22"/>
      <c r="D726" s="22"/>
      <c r="E726" s="22"/>
      <c r="F726" s="22"/>
    </row>
    <row r="727" customFormat="false" ht="15" hidden="false" customHeight="true" outlineLevel="0" collapsed="false">
      <c r="A727" s="26"/>
      <c r="C727" s="22"/>
      <c r="D727" s="22"/>
      <c r="E727" s="22"/>
      <c r="F727" s="22"/>
    </row>
    <row r="728" customFormat="false" ht="15" hidden="false" customHeight="true" outlineLevel="0" collapsed="false">
      <c r="A728" s="26"/>
      <c r="C728" s="22"/>
      <c r="D728" s="22"/>
      <c r="E728" s="22"/>
      <c r="F728" s="22"/>
    </row>
    <row r="729" customFormat="false" ht="15" hidden="false" customHeight="true" outlineLevel="0" collapsed="false">
      <c r="A729" s="26"/>
      <c r="C729" s="22"/>
      <c r="D729" s="22"/>
      <c r="E729" s="22"/>
      <c r="F729" s="22"/>
    </row>
    <row r="730" customFormat="false" ht="15" hidden="false" customHeight="true" outlineLevel="0" collapsed="false">
      <c r="A730" s="26"/>
      <c r="C730" s="22"/>
      <c r="D730" s="22"/>
      <c r="E730" s="22"/>
      <c r="F730" s="22"/>
    </row>
    <row r="731" customFormat="false" ht="15" hidden="false" customHeight="true" outlineLevel="0" collapsed="false">
      <c r="A731" s="26"/>
      <c r="C731" s="22"/>
      <c r="D731" s="22"/>
      <c r="E731" s="22"/>
      <c r="F731" s="22"/>
    </row>
    <row r="732" customFormat="false" ht="15" hidden="false" customHeight="true" outlineLevel="0" collapsed="false">
      <c r="A732" s="26"/>
      <c r="C732" s="22"/>
      <c r="D732" s="22"/>
      <c r="E732" s="22"/>
      <c r="F732" s="22"/>
    </row>
    <row r="733" customFormat="false" ht="15" hidden="false" customHeight="true" outlineLevel="0" collapsed="false">
      <c r="A733" s="26"/>
      <c r="C733" s="22"/>
      <c r="D733" s="22"/>
      <c r="E733" s="22"/>
      <c r="F733" s="22"/>
    </row>
    <row r="734" customFormat="false" ht="15" hidden="false" customHeight="true" outlineLevel="0" collapsed="false">
      <c r="A734" s="26"/>
      <c r="C734" s="22"/>
      <c r="D734" s="22"/>
      <c r="E734" s="22"/>
      <c r="F734" s="22"/>
    </row>
    <row r="735" customFormat="false" ht="15" hidden="false" customHeight="true" outlineLevel="0" collapsed="false">
      <c r="A735" s="26"/>
      <c r="C735" s="22"/>
      <c r="D735" s="22"/>
      <c r="E735" s="22"/>
      <c r="F735" s="22"/>
    </row>
    <row r="736" customFormat="false" ht="15" hidden="false" customHeight="true" outlineLevel="0" collapsed="false">
      <c r="A736" s="26"/>
      <c r="C736" s="22"/>
      <c r="D736" s="22"/>
      <c r="E736" s="22"/>
      <c r="F736" s="22"/>
    </row>
    <row r="737" customFormat="false" ht="15" hidden="false" customHeight="true" outlineLevel="0" collapsed="false">
      <c r="A737" s="26"/>
      <c r="C737" s="22"/>
      <c r="D737" s="22"/>
      <c r="E737" s="22"/>
      <c r="F737" s="22"/>
    </row>
    <row r="738" customFormat="false" ht="15" hidden="false" customHeight="true" outlineLevel="0" collapsed="false">
      <c r="A738" s="26"/>
      <c r="C738" s="22"/>
      <c r="D738" s="22"/>
      <c r="E738" s="22"/>
      <c r="F738" s="22"/>
    </row>
    <row r="739" customFormat="false" ht="15" hidden="false" customHeight="true" outlineLevel="0" collapsed="false">
      <c r="A739" s="26"/>
      <c r="C739" s="22"/>
      <c r="D739" s="22"/>
      <c r="E739" s="22"/>
      <c r="F739" s="22"/>
    </row>
    <row r="740" customFormat="false" ht="15" hidden="false" customHeight="true" outlineLevel="0" collapsed="false">
      <c r="A740" s="26"/>
      <c r="C740" s="22"/>
      <c r="D740" s="22"/>
      <c r="E740" s="22"/>
      <c r="F740" s="22"/>
    </row>
    <row r="741" customFormat="false" ht="15" hidden="false" customHeight="true" outlineLevel="0" collapsed="false">
      <c r="A741" s="26"/>
      <c r="C741" s="22"/>
      <c r="D741" s="22"/>
      <c r="E741" s="22"/>
      <c r="F741" s="22"/>
    </row>
    <row r="742" customFormat="false" ht="15" hidden="false" customHeight="true" outlineLevel="0" collapsed="false">
      <c r="A742" s="26"/>
      <c r="C742" s="22"/>
      <c r="D742" s="22"/>
      <c r="E742" s="22"/>
      <c r="F742" s="22"/>
    </row>
    <row r="743" customFormat="false" ht="15" hidden="false" customHeight="true" outlineLevel="0" collapsed="false">
      <c r="A743" s="26"/>
      <c r="C743" s="22"/>
      <c r="D743" s="22"/>
      <c r="E743" s="22"/>
      <c r="F743" s="22"/>
    </row>
    <row r="744" customFormat="false" ht="15" hidden="false" customHeight="true" outlineLevel="0" collapsed="false">
      <c r="A744" s="26"/>
      <c r="C744" s="22"/>
      <c r="D744" s="22"/>
      <c r="E744" s="22"/>
      <c r="F744" s="22"/>
    </row>
    <row r="745" customFormat="false" ht="15" hidden="false" customHeight="true" outlineLevel="0" collapsed="false">
      <c r="A745" s="26"/>
      <c r="C745" s="22"/>
      <c r="D745" s="22"/>
      <c r="E745" s="22"/>
      <c r="F745" s="22"/>
    </row>
    <row r="746" customFormat="false" ht="15" hidden="false" customHeight="true" outlineLevel="0" collapsed="false">
      <c r="A746" s="26"/>
      <c r="C746" s="22"/>
      <c r="D746" s="22"/>
      <c r="E746" s="22"/>
      <c r="F746" s="22"/>
    </row>
    <row r="747" customFormat="false" ht="15" hidden="false" customHeight="true" outlineLevel="0" collapsed="false">
      <c r="A747" s="26"/>
      <c r="C747" s="22"/>
      <c r="D747" s="22"/>
      <c r="E747" s="22"/>
      <c r="F747" s="22"/>
    </row>
    <row r="748" customFormat="false" ht="15" hidden="false" customHeight="true" outlineLevel="0" collapsed="false">
      <c r="A748" s="26"/>
      <c r="C748" s="22"/>
      <c r="D748" s="22"/>
      <c r="E748" s="22"/>
      <c r="F748" s="22"/>
    </row>
    <row r="749" customFormat="false" ht="15" hidden="false" customHeight="true" outlineLevel="0" collapsed="false">
      <c r="A749" s="26"/>
      <c r="C749" s="22"/>
      <c r="D749" s="22"/>
      <c r="E749" s="22"/>
      <c r="F749" s="22"/>
    </row>
    <row r="750" customFormat="false" ht="15" hidden="false" customHeight="true" outlineLevel="0" collapsed="false">
      <c r="A750" s="26"/>
      <c r="C750" s="22"/>
      <c r="D750" s="22"/>
      <c r="E750" s="22"/>
      <c r="F750" s="22"/>
    </row>
    <row r="751" customFormat="false" ht="15" hidden="false" customHeight="true" outlineLevel="0" collapsed="false">
      <c r="A751" s="26"/>
      <c r="C751" s="22"/>
      <c r="D751" s="22"/>
      <c r="E751" s="22"/>
      <c r="F751" s="22"/>
    </row>
    <row r="752" customFormat="false" ht="15" hidden="false" customHeight="true" outlineLevel="0" collapsed="false">
      <c r="A752" s="26"/>
      <c r="C752" s="22"/>
      <c r="D752" s="22"/>
      <c r="E752" s="22"/>
      <c r="F752" s="22"/>
    </row>
    <row r="753" customFormat="false" ht="15" hidden="false" customHeight="true" outlineLevel="0" collapsed="false">
      <c r="A753" s="26"/>
      <c r="C753" s="22"/>
      <c r="D753" s="22"/>
      <c r="E753" s="22"/>
      <c r="F753" s="22"/>
    </row>
    <row r="754" customFormat="false" ht="15" hidden="false" customHeight="true" outlineLevel="0" collapsed="false">
      <c r="A754" s="26"/>
      <c r="C754" s="22"/>
      <c r="D754" s="22"/>
      <c r="E754" s="22"/>
      <c r="F754" s="22"/>
    </row>
    <row r="755" customFormat="false" ht="15" hidden="false" customHeight="true" outlineLevel="0" collapsed="false">
      <c r="A755" s="26"/>
      <c r="C755" s="22"/>
      <c r="D755" s="22"/>
      <c r="E755" s="22"/>
      <c r="F755" s="22"/>
    </row>
    <row r="756" customFormat="false" ht="15" hidden="false" customHeight="true" outlineLevel="0" collapsed="false">
      <c r="A756" s="26"/>
      <c r="C756" s="22"/>
      <c r="D756" s="22"/>
      <c r="E756" s="22"/>
      <c r="F756" s="22"/>
    </row>
    <row r="757" customFormat="false" ht="15" hidden="false" customHeight="true" outlineLevel="0" collapsed="false">
      <c r="A757" s="26"/>
      <c r="C757" s="22"/>
      <c r="D757" s="22"/>
      <c r="E757" s="22"/>
      <c r="F757" s="22"/>
    </row>
    <row r="758" customFormat="false" ht="15" hidden="false" customHeight="true" outlineLevel="0" collapsed="false">
      <c r="A758" s="26"/>
      <c r="C758" s="22"/>
      <c r="D758" s="22"/>
      <c r="E758" s="22"/>
      <c r="F758" s="22"/>
    </row>
    <row r="759" customFormat="false" ht="15" hidden="false" customHeight="true" outlineLevel="0" collapsed="false">
      <c r="A759" s="26"/>
      <c r="C759" s="22"/>
      <c r="D759" s="22"/>
      <c r="E759" s="22"/>
      <c r="F759" s="22"/>
    </row>
    <row r="760" customFormat="false" ht="15" hidden="false" customHeight="true" outlineLevel="0" collapsed="false">
      <c r="A760" s="26"/>
      <c r="C760" s="22"/>
      <c r="D760" s="22"/>
      <c r="E760" s="22"/>
      <c r="F760" s="22"/>
    </row>
    <row r="761" customFormat="false" ht="15" hidden="false" customHeight="true" outlineLevel="0" collapsed="false">
      <c r="A761" s="26"/>
      <c r="C761" s="22"/>
      <c r="D761" s="22"/>
      <c r="E761" s="22"/>
      <c r="F761" s="22"/>
    </row>
    <row r="762" customFormat="false" ht="15" hidden="false" customHeight="true" outlineLevel="0" collapsed="false">
      <c r="A762" s="26"/>
      <c r="C762" s="22"/>
      <c r="D762" s="22"/>
      <c r="E762" s="22"/>
      <c r="F762" s="22"/>
    </row>
    <row r="763" customFormat="false" ht="15" hidden="false" customHeight="true" outlineLevel="0" collapsed="false">
      <c r="A763" s="26"/>
      <c r="C763" s="22"/>
      <c r="D763" s="22"/>
      <c r="E763" s="22"/>
      <c r="F763" s="22"/>
    </row>
    <row r="764" customFormat="false" ht="15" hidden="false" customHeight="true" outlineLevel="0" collapsed="false">
      <c r="A764" s="26"/>
      <c r="C764" s="22"/>
      <c r="D764" s="22"/>
      <c r="E764" s="22"/>
      <c r="F764" s="22"/>
    </row>
    <row r="765" customFormat="false" ht="15" hidden="false" customHeight="true" outlineLevel="0" collapsed="false">
      <c r="A765" s="26"/>
      <c r="C765" s="22"/>
      <c r="D765" s="22"/>
      <c r="E765" s="22"/>
      <c r="F765" s="22"/>
    </row>
    <row r="766" customFormat="false" ht="15" hidden="false" customHeight="true" outlineLevel="0" collapsed="false">
      <c r="A766" s="26"/>
      <c r="C766" s="22"/>
      <c r="D766" s="22"/>
      <c r="E766" s="22"/>
      <c r="F766" s="22"/>
    </row>
    <row r="767" customFormat="false" ht="15" hidden="false" customHeight="true" outlineLevel="0" collapsed="false">
      <c r="A767" s="26"/>
      <c r="C767" s="22"/>
      <c r="D767" s="22"/>
      <c r="E767" s="22"/>
      <c r="F767" s="22"/>
    </row>
    <row r="768" customFormat="false" ht="15" hidden="false" customHeight="true" outlineLevel="0" collapsed="false">
      <c r="A768" s="26"/>
      <c r="C768" s="22"/>
      <c r="D768" s="22"/>
      <c r="E768" s="22"/>
      <c r="F768" s="22"/>
    </row>
    <row r="769" customFormat="false" ht="15" hidden="false" customHeight="true" outlineLevel="0" collapsed="false">
      <c r="A769" s="26"/>
      <c r="C769" s="22"/>
      <c r="D769" s="22"/>
      <c r="E769" s="22"/>
      <c r="F769" s="22"/>
    </row>
    <row r="770" customFormat="false" ht="15" hidden="false" customHeight="true" outlineLevel="0" collapsed="false">
      <c r="A770" s="26"/>
      <c r="C770" s="22"/>
      <c r="D770" s="22"/>
      <c r="E770" s="22"/>
      <c r="F770" s="22"/>
    </row>
    <row r="771" customFormat="false" ht="15" hidden="false" customHeight="true" outlineLevel="0" collapsed="false">
      <c r="A771" s="26"/>
      <c r="C771" s="22"/>
      <c r="D771" s="22"/>
      <c r="E771" s="22"/>
      <c r="F771" s="22"/>
    </row>
    <row r="772" customFormat="false" ht="15" hidden="false" customHeight="true" outlineLevel="0" collapsed="false">
      <c r="A772" s="26"/>
      <c r="C772" s="22"/>
      <c r="D772" s="22"/>
      <c r="E772" s="22"/>
      <c r="F772" s="22"/>
    </row>
    <row r="773" customFormat="false" ht="15" hidden="false" customHeight="true" outlineLevel="0" collapsed="false">
      <c r="A773" s="26"/>
      <c r="C773" s="22"/>
      <c r="D773" s="22"/>
      <c r="E773" s="22"/>
      <c r="F773" s="22"/>
    </row>
    <row r="774" customFormat="false" ht="15" hidden="false" customHeight="true" outlineLevel="0" collapsed="false">
      <c r="A774" s="26"/>
      <c r="C774" s="22"/>
      <c r="D774" s="22"/>
      <c r="E774" s="22"/>
      <c r="F774" s="22"/>
    </row>
    <row r="775" customFormat="false" ht="15" hidden="false" customHeight="true" outlineLevel="0" collapsed="false">
      <c r="A775" s="26"/>
      <c r="C775" s="22"/>
      <c r="D775" s="22"/>
      <c r="E775" s="22"/>
      <c r="F775" s="22"/>
    </row>
    <row r="776" customFormat="false" ht="15" hidden="false" customHeight="true" outlineLevel="0" collapsed="false">
      <c r="A776" s="26"/>
      <c r="C776" s="22"/>
      <c r="D776" s="22"/>
      <c r="E776" s="22"/>
      <c r="F776" s="22"/>
    </row>
    <row r="777" customFormat="false" ht="15" hidden="false" customHeight="true" outlineLevel="0" collapsed="false">
      <c r="A777" s="26"/>
      <c r="C777" s="22"/>
      <c r="D777" s="22"/>
      <c r="E777" s="22"/>
      <c r="F777" s="22"/>
    </row>
    <row r="778" customFormat="false" ht="15" hidden="false" customHeight="true" outlineLevel="0" collapsed="false">
      <c r="A778" s="26"/>
      <c r="C778" s="22"/>
      <c r="D778" s="22"/>
      <c r="E778" s="22"/>
      <c r="F778" s="22"/>
    </row>
    <row r="779" customFormat="false" ht="15" hidden="false" customHeight="true" outlineLevel="0" collapsed="false">
      <c r="A779" s="26"/>
      <c r="C779" s="22"/>
      <c r="D779" s="22"/>
      <c r="E779" s="22"/>
      <c r="F779" s="22"/>
    </row>
    <row r="780" customFormat="false" ht="15" hidden="false" customHeight="true" outlineLevel="0" collapsed="false">
      <c r="A780" s="26"/>
      <c r="C780" s="22"/>
      <c r="D780" s="22"/>
      <c r="E780" s="22"/>
      <c r="F780" s="22"/>
    </row>
    <row r="781" customFormat="false" ht="15" hidden="false" customHeight="true" outlineLevel="0" collapsed="false">
      <c r="A781" s="26"/>
      <c r="C781" s="22"/>
      <c r="D781" s="22"/>
      <c r="E781" s="22"/>
      <c r="F781" s="22"/>
    </row>
    <row r="782" customFormat="false" ht="15" hidden="false" customHeight="true" outlineLevel="0" collapsed="false">
      <c r="A782" s="26"/>
      <c r="C782" s="22"/>
      <c r="D782" s="22"/>
      <c r="E782" s="22"/>
      <c r="F782" s="22"/>
    </row>
    <row r="783" customFormat="false" ht="15" hidden="false" customHeight="true" outlineLevel="0" collapsed="false">
      <c r="A783" s="26"/>
      <c r="C783" s="22"/>
      <c r="D783" s="22"/>
      <c r="E783" s="22"/>
      <c r="F783" s="22"/>
    </row>
    <row r="784" customFormat="false" ht="15" hidden="false" customHeight="true" outlineLevel="0" collapsed="false">
      <c r="A784" s="26"/>
      <c r="C784" s="22"/>
      <c r="D784" s="22"/>
      <c r="E784" s="22"/>
      <c r="F784" s="22"/>
    </row>
    <row r="785" customFormat="false" ht="15" hidden="false" customHeight="true" outlineLevel="0" collapsed="false">
      <c r="A785" s="26"/>
      <c r="C785" s="22"/>
      <c r="D785" s="22"/>
      <c r="E785" s="22"/>
      <c r="F785" s="22"/>
    </row>
    <row r="786" customFormat="false" ht="15" hidden="false" customHeight="true" outlineLevel="0" collapsed="false">
      <c r="A786" s="26"/>
      <c r="C786" s="22"/>
      <c r="D786" s="22"/>
      <c r="E786" s="22"/>
      <c r="F786" s="22"/>
    </row>
    <row r="787" customFormat="false" ht="15" hidden="false" customHeight="true" outlineLevel="0" collapsed="false">
      <c r="A787" s="26"/>
      <c r="C787" s="22"/>
      <c r="D787" s="22"/>
      <c r="E787" s="22"/>
      <c r="F787" s="22"/>
    </row>
    <row r="788" customFormat="false" ht="15" hidden="false" customHeight="true" outlineLevel="0" collapsed="false">
      <c r="A788" s="26"/>
      <c r="C788" s="22"/>
      <c r="D788" s="22"/>
      <c r="E788" s="22"/>
      <c r="F788" s="22"/>
    </row>
    <row r="789" customFormat="false" ht="15" hidden="false" customHeight="true" outlineLevel="0" collapsed="false">
      <c r="A789" s="26"/>
      <c r="C789" s="22"/>
      <c r="D789" s="22"/>
      <c r="E789" s="22"/>
      <c r="F789" s="22"/>
    </row>
    <row r="790" customFormat="false" ht="15" hidden="false" customHeight="true" outlineLevel="0" collapsed="false">
      <c r="A790" s="26"/>
      <c r="C790" s="22"/>
      <c r="D790" s="22"/>
      <c r="E790" s="22"/>
      <c r="F790" s="22"/>
    </row>
    <row r="791" customFormat="false" ht="15" hidden="false" customHeight="true" outlineLevel="0" collapsed="false">
      <c r="A791" s="26"/>
      <c r="C791" s="22"/>
      <c r="D791" s="22"/>
      <c r="E791" s="22"/>
      <c r="F791" s="22"/>
    </row>
    <row r="792" customFormat="false" ht="15" hidden="false" customHeight="true" outlineLevel="0" collapsed="false">
      <c r="A792" s="26"/>
      <c r="C792" s="22"/>
      <c r="D792" s="22"/>
      <c r="E792" s="22"/>
      <c r="F792" s="22"/>
    </row>
    <row r="793" customFormat="false" ht="15" hidden="false" customHeight="true" outlineLevel="0" collapsed="false">
      <c r="A793" s="26"/>
      <c r="C793" s="22"/>
      <c r="D793" s="22"/>
      <c r="E793" s="22"/>
      <c r="F793" s="22"/>
    </row>
    <row r="794" customFormat="false" ht="15" hidden="false" customHeight="true" outlineLevel="0" collapsed="false">
      <c r="A794" s="26"/>
      <c r="C794" s="22"/>
      <c r="D794" s="22"/>
      <c r="E794" s="22"/>
      <c r="F794" s="22"/>
    </row>
    <row r="795" customFormat="false" ht="15" hidden="false" customHeight="true" outlineLevel="0" collapsed="false">
      <c r="A795" s="26"/>
      <c r="C795" s="22"/>
      <c r="D795" s="22"/>
      <c r="E795" s="22"/>
      <c r="F795" s="22"/>
    </row>
    <row r="796" customFormat="false" ht="15" hidden="false" customHeight="true" outlineLevel="0" collapsed="false">
      <c r="A796" s="26"/>
      <c r="C796" s="22"/>
      <c r="D796" s="22"/>
      <c r="E796" s="22"/>
      <c r="F796" s="22"/>
    </row>
    <row r="797" customFormat="false" ht="15" hidden="false" customHeight="true" outlineLevel="0" collapsed="false">
      <c r="A797" s="26"/>
      <c r="C797" s="22"/>
      <c r="D797" s="22"/>
      <c r="E797" s="22"/>
      <c r="F797" s="22"/>
    </row>
    <row r="798" customFormat="false" ht="15" hidden="false" customHeight="true" outlineLevel="0" collapsed="false">
      <c r="A798" s="26"/>
      <c r="C798" s="22"/>
      <c r="D798" s="22"/>
      <c r="E798" s="22"/>
      <c r="F798" s="22"/>
    </row>
    <row r="799" customFormat="false" ht="15" hidden="false" customHeight="true" outlineLevel="0" collapsed="false">
      <c r="A799" s="26"/>
      <c r="C799" s="22"/>
      <c r="D799" s="22"/>
      <c r="E799" s="22"/>
      <c r="F799" s="22"/>
    </row>
    <row r="800" customFormat="false" ht="15" hidden="false" customHeight="true" outlineLevel="0" collapsed="false">
      <c r="A800" s="26"/>
      <c r="C800" s="22"/>
      <c r="D800" s="22"/>
      <c r="E800" s="22"/>
      <c r="F800" s="22"/>
    </row>
    <row r="801" customFormat="false" ht="15" hidden="false" customHeight="true" outlineLevel="0" collapsed="false">
      <c r="A801" s="26"/>
      <c r="C801" s="22"/>
      <c r="D801" s="22"/>
      <c r="E801" s="22"/>
      <c r="F801" s="22"/>
    </row>
    <row r="802" customFormat="false" ht="15" hidden="false" customHeight="true" outlineLevel="0" collapsed="false">
      <c r="A802" s="26"/>
      <c r="C802" s="22"/>
      <c r="D802" s="22"/>
      <c r="E802" s="22"/>
      <c r="F802" s="22"/>
    </row>
    <row r="803" customFormat="false" ht="15" hidden="false" customHeight="true" outlineLevel="0" collapsed="false">
      <c r="A803" s="26"/>
      <c r="C803" s="22"/>
      <c r="D803" s="22"/>
      <c r="E803" s="22"/>
      <c r="F803" s="22"/>
    </row>
    <row r="804" customFormat="false" ht="15" hidden="false" customHeight="true" outlineLevel="0" collapsed="false">
      <c r="A804" s="26"/>
      <c r="C804" s="22"/>
      <c r="D804" s="22"/>
      <c r="E804" s="22"/>
      <c r="F804" s="22"/>
    </row>
    <row r="805" customFormat="false" ht="15" hidden="false" customHeight="true" outlineLevel="0" collapsed="false">
      <c r="A805" s="26"/>
      <c r="C805" s="22"/>
      <c r="D805" s="22"/>
      <c r="E805" s="22"/>
      <c r="F805" s="22"/>
    </row>
    <row r="806" customFormat="false" ht="15" hidden="false" customHeight="true" outlineLevel="0" collapsed="false">
      <c r="A806" s="26"/>
      <c r="C806" s="22"/>
      <c r="D806" s="22"/>
      <c r="E806" s="22"/>
      <c r="F806" s="22"/>
    </row>
    <row r="807" customFormat="false" ht="15" hidden="false" customHeight="true" outlineLevel="0" collapsed="false">
      <c r="A807" s="26"/>
      <c r="C807" s="22"/>
      <c r="D807" s="22"/>
      <c r="E807" s="22"/>
      <c r="F807" s="22"/>
    </row>
    <row r="808" customFormat="false" ht="15" hidden="false" customHeight="true" outlineLevel="0" collapsed="false">
      <c r="A808" s="26"/>
      <c r="C808" s="22"/>
      <c r="D808" s="22"/>
      <c r="E808" s="22"/>
      <c r="F808" s="22"/>
    </row>
    <row r="809" customFormat="false" ht="15" hidden="false" customHeight="true" outlineLevel="0" collapsed="false">
      <c r="A809" s="26"/>
      <c r="C809" s="22"/>
      <c r="D809" s="22"/>
      <c r="E809" s="22"/>
      <c r="F809" s="22"/>
    </row>
    <row r="810" customFormat="false" ht="15" hidden="false" customHeight="true" outlineLevel="0" collapsed="false">
      <c r="A810" s="26"/>
      <c r="C810" s="22"/>
      <c r="D810" s="22"/>
      <c r="E810" s="22"/>
      <c r="F810" s="22"/>
    </row>
    <row r="811" customFormat="false" ht="15" hidden="false" customHeight="true" outlineLevel="0" collapsed="false">
      <c r="A811" s="26"/>
      <c r="C811" s="22"/>
      <c r="D811" s="22"/>
      <c r="E811" s="22"/>
      <c r="F811" s="22"/>
    </row>
    <row r="812" customFormat="false" ht="15" hidden="false" customHeight="true" outlineLevel="0" collapsed="false">
      <c r="A812" s="26"/>
      <c r="C812" s="22"/>
      <c r="D812" s="22"/>
      <c r="E812" s="22"/>
      <c r="F812" s="22"/>
    </row>
    <row r="813" customFormat="false" ht="15" hidden="false" customHeight="true" outlineLevel="0" collapsed="false">
      <c r="A813" s="26"/>
      <c r="C813" s="22"/>
      <c r="D813" s="22"/>
      <c r="E813" s="22"/>
      <c r="F813" s="22"/>
    </row>
    <row r="814" customFormat="false" ht="15" hidden="false" customHeight="true" outlineLevel="0" collapsed="false">
      <c r="A814" s="26"/>
      <c r="C814" s="22"/>
      <c r="D814" s="22"/>
      <c r="E814" s="22"/>
      <c r="F814" s="22"/>
    </row>
    <row r="815" customFormat="false" ht="15" hidden="false" customHeight="true" outlineLevel="0" collapsed="false">
      <c r="A815" s="26"/>
      <c r="C815" s="22"/>
      <c r="D815" s="22"/>
      <c r="E815" s="22"/>
      <c r="F815" s="22"/>
    </row>
    <row r="816" customFormat="false" ht="15" hidden="false" customHeight="true" outlineLevel="0" collapsed="false">
      <c r="A816" s="26"/>
      <c r="C816" s="22"/>
      <c r="D816" s="22"/>
      <c r="E816" s="22"/>
      <c r="F816" s="22"/>
    </row>
    <row r="817" customFormat="false" ht="15" hidden="false" customHeight="true" outlineLevel="0" collapsed="false">
      <c r="A817" s="26"/>
      <c r="C817" s="22"/>
      <c r="D817" s="22"/>
      <c r="E817" s="22"/>
      <c r="F817" s="22"/>
    </row>
    <row r="818" customFormat="false" ht="15" hidden="false" customHeight="true" outlineLevel="0" collapsed="false">
      <c r="A818" s="26"/>
      <c r="C818" s="22"/>
      <c r="D818" s="22"/>
      <c r="E818" s="22"/>
      <c r="F818" s="22"/>
    </row>
    <row r="819" customFormat="false" ht="15" hidden="false" customHeight="true" outlineLevel="0" collapsed="false">
      <c r="A819" s="26"/>
      <c r="C819" s="22"/>
      <c r="D819" s="22"/>
      <c r="E819" s="22"/>
      <c r="F819" s="22"/>
    </row>
    <row r="820" customFormat="false" ht="15" hidden="false" customHeight="true" outlineLevel="0" collapsed="false">
      <c r="A820" s="26"/>
      <c r="C820" s="22"/>
      <c r="D820" s="22"/>
      <c r="E820" s="22"/>
      <c r="F820" s="22"/>
    </row>
    <row r="821" customFormat="false" ht="15" hidden="false" customHeight="true" outlineLevel="0" collapsed="false">
      <c r="A821" s="26"/>
      <c r="C821" s="22"/>
      <c r="D821" s="22"/>
      <c r="E821" s="22"/>
      <c r="F821" s="22"/>
    </row>
    <row r="822" customFormat="false" ht="15" hidden="false" customHeight="true" outlineLevel="0" collapsed="false">
      <c r="A822" s="26"/>
      <c r="C822" s="22"/>
      <c r="D822" s="22"/>
      <c r="E822" s="22"/>
      <c r="F822" s="22"/>
    </row>
    <row r="823" customFormat="false" ht="15" hidden="false" customHeight="true" outlineLevel="0" collapsed="false">
      <c r="A823" s="26"/>
      <c r="C823" s="22"/>
      <c r="D823" s="22"/>
      <c r="E823" s="22"/>
      <c r="F823" s="22"/>
    </row>
    <row r="824" customFormat="false" ht="15" hidden="false" customHeight="true" outlineLevel="0" collapsed="false">
      <c r="A824" s="26"/>
      <c r="C824" s="22"/>
      <c r="D824" s="22"/>
      <c r="E824" s="22"/>
      <c r="F824" s="22"/>
    </row>
    <row r="825" customFormat="false" ht="15" hidden="false" customHeight="true" outlineLevel="0" collapsed="false">
      <c r="A825" s="26"/>
      <c r="C825" s="22"/>
      <c r="D825" s="22"/>
      <c r="E825" s="22"/>
      <c r="F825" s="22"/>
    </row>
    <row r="826" customFormat="false" ht="15" hidden="false" customHeight="true" outlineLevel="0" collapsed="false">
      <c r="A826" s="26"/>
      <c r="C826" s="22"/>
      <c r="D826" s="22"/>
      <c r="E826" s="22"/>
      <c r="F826" s="22"/>
    </row>
    <row r="827" customFormat="false" ht="15" hidden="false" customHeight="true" outlineLevel="0" collapsed="false">
      <c r="A827" s="26"/>
      <c r="C827" s="22"/>
      <c r="D827" s="22"/>
      <c r="E827" s="22"/>
      <c r="F827" s="22"/>
    </row>
    <row r="828" customFormat="false" ht="15" hidden="false" customHeight="true" outlineLevel="0" collapsed="false">
      <c r="A828" s="26"/>
      <c r="C828" s="22"/>
      <c r="D828" s="22"/>
      <c r="E828" s="22"/>
      <c r="F828" s="22"/>
    </row>
    <row r="829" customFormat="false" ht="15" hidden="false" customHeight="true" outlineLevel="0" collapsed="false">
      <c r="A829" s="26"/>
      <c r="C829" s="22"/>
      <c r="D829" s="22"/>
      <c r="E829" s="22"/>
      <c r="F829" s="22"/>
    </row>
    <row r="830" customFormat="false" ht="15" hidden="false" customHeight="true" outlineLevel="0" collapsed="false">
      <c r="A830" s="26"/>
      <c r="C830" s="22"/>
      <c r="D830" s="22"/>
      <c r="E830" s="22"/>
      <c r="F830" s="22"/>
    </row>
    <row r="831" customFormat="false" ht="15" hidden="false" customHeight="true" outlineLevel="0" collapsed="false">
      <c r="A831" s="26"/>
      <c r="C831" s="22"/>
      <c r="D831" s="22"/>
      <c r="E831" s="22"/>
      <c r="F831" s="22"/>
    </row>
    <row r="832" customFormat="false" ht="15" hidden="false" customHeight="true" outlineLevel="0" collapsed="false">
      <c r="A832" s="26"/>
      <c r="C832" s="22"/>
      <c r="D832" s="22"/>
      <c r="E832" s="22"/>
      <c r="F832" s="22"/>
    </row>
    <row r="833" customFormat="false" ht="15" hidden="false" customHeight="true" outlineLevel="0" collapsed="false">
      <c r="A833" s="26"/>
      <c r="C833" s="22"/>
      <c r="D833" s="22"/>
      <c r="E833" s="22"/>
      <c r="F833" s="22"/>
    </row>
    <row r="834" customFormat="false" ht="15" hidden="false" customHeight="true" outlineLevel="0" collapsed="false">
      <c r="A834" s="26"/>
      <c r="C834" s="22"/>
      <c r="D834" s="22"/>
      <c r="E834" s="22"/>
      <c r="F834" s="22"/>
    </row>
    <row r="835" customFormat="false" ht="15" hidden="false" customHeight="true" outlineLevel="0" collapsed="false">
      <c r="A835" s="26"/>
      <c r="C835" s="22"/>
      <c r="D835" s="22"/>
      <c r="E835" s="22"/>
      <c r="F835" s="22"/>
    </row>
    <row r="836" customFormat="false" ht="15" hidden="false" customHeight="true" outlineLevel="0" collapsed="false">
      <c r="A836" s="26"/>
      <c r="C836" s="22"/>
      <c r="D836" s="22"/>
      <c r="E836" s="22"/>
      <c r="F836" s="22"/>
    </row>
    <row r="837" customFormat="false" ht="15" hidden="false" customHeight="true" outlineLevel="0" collapsed="false">
      <c r="A837" s="26"/>
      <c r="C837" s="22"/>
      <c r="D837" s="22"/>
      <c r="E837" s="22"/>
      <c r="F837" s="22"/>
    </row>
    <row r="838" customFormat="false" ht="15" hidden="false" customHeight="true" outlineLevel="0" collapsed="false">
      <c r="A838" s="26"/>
      <c r="C838" s="22"/>
      <c r="D838" s="22"/>
      <c r="E838" s="22"/>
      <c r="F838" s="22"/>
    </row>
    <row r="839" customFormat="false" ht="15" hidden="false" customHeight="true" outlineLevel="0" collapsed="false">
      <c r="A839" s="26"/>
      <c r="C839" s="22"/>
      <c r="D839" s="22"/>
      <c r="E839" s="22"/>
      <c r="F839" s="22"/>
    </row>
    <row r="840" customFormat="false" ht="15" hidden="false" customHeight="true" outlineLevel="0" collapsed="false">
      <c r="A840" s="26"/>
      <c r="C840" s="22"/>
      <c r="D840" s="22"/>
      <c r="E840" s="22"/>
      <c r="F840" s="22"/>
    </row>
    <row r="841" customFormat="false" ht="15" hidden="false" customHeight="true" outlineLevel="0" collapsed="false">
      <c r="A841" s="26"/>
      <c r="C841" s="22"/>
      <c r="D841" s="22"/>
      <c r="E841" s="22"/>
      <c r="F841" s="22"/>
    </row>
    <row r="842" customFormat="false" ht="15" hidden="false" customHeight="true" outlineLevel="0" collapsed="false">
      <c r="A842" s="26"/>
      <c r="C842" s="22"/>
      <c r="D842" s="22"/>
      <c r="E842" s="22"/>
      <c r="F842" s="22"/>
    </row>
    <row r="843" customFormat="false" ht="15" hidden="false" customHeight="true" outlineLevel="0" collapsed="false">
      <c r="A843" s="26"/>
      <c r="C843" s="22"/>
      <c r="D843" s="22"/>
      <c r="E843" s="22"/>
      <c r="F843" s="22"/>
    </row>
    <row r="844" customFormat="false" ht="15" hidden="false" customHeight="true" outlineLevel="0" collapsed="false">
      <c r="A844" s="26"/>
      <c r="C844" s="22"/>
      <c r="D844" s="22"/>
      <c r="E844" s="22"/>
      <c r="F844" s="22"/>
    </row>
    <row r="845" customFormat="false" ht="15" hidden="false" customHeight="true" outlineLevel="0" collapsed="false">
      <c r="A845" s="26"/>
      <c r="C845" s="22"/>
      <c r="D845" s="22"/>
      <c r="E845" s="22"/>
      <c r="F845" s="22"/>
    </row>
    <row r="846" customFormat="false" ht="15" hidden="false" customHeight="true" outlineLevel="0" collapsed="false">
      <c r="A846" s="26"/>
      <c r="C846" s="22"/>
      <c r="D846" s="22"/>
      <c r="E846" s="22"/>
      <c r="F846" s="22"/>
    </row>
    <row r="847" customFormat="false" ht="15" hidden="false" customHeight="true" outlineLevel="0" collapsed="false">
      <c r="A847" s="26"/>
      <c r="C847" s="22"/>
      <c r="D847" s="22"/>
      <c r="E847" s="22"/>
      <c r="F847" s="22"/>
    </row>
    <row r="848" customFormat="false" ht="15" hidden="false" customHeight="true" outlineLevel="0" collapsed="false">
      <c r="A848" s="26"/>
      <c r="C848" s="22"/>
      <c r="D848" s="22"/>
      <c r="E848" s="22"/>
      <c r="F848" s="22"/>
    </row>
    <row r="849" customFormat="false" ht="15" hidden="false" customHeight="true" outlineLevel="0" collapsed="false">
      <c r="A849" s="26"/>
      <c r="C849" s="22"/>
      <c r="D849" s="22"/>
      <c r="E849" s="22"/>
      <c r="F849" s="22"/>
    </row>
    <row r="850" customFormat="false" ht="15" hidden="false" customHeight="true" outlineLevel="0" collapsed="false">
      <c r="A850" s="26"/>
      <c r="C850" s="22"/>
      <c r="D850" s="22"/>
      <c r="E850" s="22"/>
      <c r="F850" s="22"/>
    </row>
    <row r="851" customFormat="false" ht="15" hidden="false" customHeight="true" outlineLevel="0" collapsed="false">
      <c r="A851" s="26"/>
      <c r="C851" s="22"/>
      <c r="D851" s="22"/>
      <c r="E851" s="22"/>
      <c r="F851" s="22"/>
    </row>
    <row r="852" customFormat="false" ht="15" hidden="false" customHeight="true" outlineLevel="0" collapsed="false">
      <c r="A852" s="26"/>
      <c r="C852" s="22"/>
      <c r="D852" s="22"/>
      <c r="E852" s="22"/>
      <c r="F852" s="22"/>
    </row>
    <row r="853" customFormat="false" ht="15" hidden="false" customHeight="true" outlineLevel="0" collapsed="false">
      <c r="A853" s="26"/>
      <c r="C853" s="22"/>
      <c r="D853" s="22"/>
      <c r="E853" s="22"/>
      <c r="F853" s="22"/>
    </row>
    <row r="854" customFormat="false" ht="15" hidden="false" customHeight="true" outlineLevel="0" collapsed="false">
      <c r="A854" s="26"/>
      <c r="C854" s="22"/>
      <c r="D854" s="22"/>
      <c r="E854" s="22"/>
      <c r="F854" s="22"/>
    </row>
    <row r="855" customFormat="false" ht="15" hidden="false" customHeight="true" outlineLevel="0" collapsed="false">
      <c r="A855" s="26"/>
      <c r="C855" s="22"/>
      <c r="D855" s="22"/>
      <c r="E855" s="22"/>
      <c r="F855" s="22"/>
    </row>
    <row r="856" customFormat="false" ht="15" hidden="false" customHeight="true" outlineLevel="0" collapsed="false">
      <c r="A856" s="26"/>
      <c r="C856" s="22"/>
      <c r="D856" s="22"/>
      <c r="E856" s="22"/>
      <c r="F856" s="22"/>
    </row>
    <row r="857" customFormat="false" ht="15" hidden="false" customHeight="true" outlineLevel="0" collapsed="false">
      <c r="A857" s="26"/>
      <c r="C857" s="22"/>
      <c r="D857" s="22"/>
      <c r="E857" s="22"/>
      <c r="F857" s="22"/>
    </row>
    <row r="858" customFormat="false" ht="15" hidden="false" customHeight="true" outlineLevel="0" collapsed="false">
      <c r="A858" s="26"/>
      <c r="C858" s="22"/>
      <c r="D858" s="22"/>
      <c r="E858" s="22"/>
      <c r="F858" s="22"/>
    </row>
    <row r="859" customFormat="false" ht="15" hidden="false" customHeight="true" outlineLevel="0" collapsed="false">
      <c r="A859" s="26"/>
      <c r="C859" s="22"/>
      <c r="D859" s="22"/>
      <c r="E859" s="22"/>
      <c r="F859" s="22"/>
    </row>
    <row r="860" customFormat="false" ht="15" hidden="false" customHeight="true" outlineLevel="0" collapsed="false">
      <c r="A860" s="26"/>
      <c r="C860" s="22"/>
      <c r="D860" s="22"/>
      <c r="E860" s="22"/>
      <c r="F860" s="22"/>
    </row>
    <row r="861" customFormat="false" ht="15" hidden="false" customHeight="true" outlineLevel="0" collapsed="false">
      <c r="A861" s="26"/>
      <c r="C861" s="22"/>
      <c r="D861" s="22"/>
      <c r="E861" s="22"/>
      <c r="F861" s="22"/>
    </row>
    <row r="862" customFormat="false" ht="15" hidden="false" customHeight="true" outlineLevel="0" collapsed="false">
      <c r="A862" s="26"/>
      <c r="C862" s="22"/>
      <c r="D862" s="22"/>
      <c r="E862" s="22"/>
      <c r="F862" s="22"/>
    </row>
    <row r="863" customFormat="false" ht="15" hidden="false" customHeight="true" outlineLevel="0" collapsed="false">
      <c r="A863" s="26"/>
      <c r="C863" s="22"/>
      <c r="D863" s="22"/>
      <c r="E863" s="22"/>
      <c r="F863" s="22"/>
    </row>
    <row r="864" customFormat="false" ht="15" hidden="false" customHeight="true" outlineLevel="0" collapsed="false">
      <c r="A864" s="26"/>
      <c r="C864" s="22"/>
      <c r="D864" s="22"/>
      <c r="E864" s="22"/>
      <c r="F864" s="22"/>
    </row>
    <row r="865" customFormat="false" ht="15" hidden="false" customHeight="true" outlineLevel="0" collapsed="false">
      <c r="A865" s="26"/>
      <c r="C865" s="22"/>
      <c r="D865" s="22"/>
      <c r="E865" s="22"/>
      <c r="F865" s="22"/>
    </row>
    <row r="866" customFormat="false" ht="15" hidden="false" customHeight="true" outlineLevel="0" collapsed="false">
      <c r="A866" s="26"/>
      <c r="C866" s="22"/>
      <c r="D866" s="22"/>
      <c r="E866" s="22"/>
      <c r="F866" s="22"/>
    </row>
    <row r="867" customFormat="false" ht="15" hidden="false" customHeight="true" outlineLevel="0" collapsed="false">
      <c r="A867" s="26"/>
      <c r="C867" s="22"/>
      <c r="D867" s="22"/>
      <c r="E867" s="22"/>
      <c r="F867" s="22"/>
    </row>
    <row r="868" customFormat="false" ht="15" hidden="false" customHeight="true" outlineLevel="0" collapsed="false">
      <c r="A868" s="26"/>
      <c r="C868" s="22"/>
      <c r="D868" s="22"/>
      <c r="E868" s="22"/>
      <c r="F868" s="22"/>
    </row>
    <row r="869" customFormat="false" ht="15" hidden="false" customHeight="true" outlineLevel="0" collapsed="false">
      <c r="A869" s="26"/>
      <c r="C869" s="22"/>
      <c r="D869" s="22"/>
      <c r="E869" s="22"/>
      <c r="F869" s="22"/>
    </row>
    <row r="870" customFormat="false" ht="15" hidden="false" customHeight="true" outlineLevel="0" collapsed="false">
      <c r="A870" s="26"/>
      <c r="C870" s="22"/>
      <c r="D870" s="22"/>
      <c r="E870" s="22"/>
      <c r="F870" s="22"/>
    </row>
    <row r="871" customFormat="false" ht="15" hidden="false" customHeight="true" outlineLevel="0" collapsed="false">
      <c r="A871" s="26"/>
      <c r="C871" s="22"/>
      <c r="D871" s="22"/>
      <c r="E871" s="22"/>
      <c r="F871" s="22"/>
    </row>
    <row r="872" customFormat="false" ht="15" hidden="false" customHeight="true" outlineLevel="0" collapsed="false">
      <c r="A872" s="26"/>
      <c r="C872" s="22"/>
      <c r="D872" s="22"/>
      <c r="E872" s="22"/>
      <c r="F872" s="22"/>
    </row>
    <row r="873" customFormat="false" ht="15" hidden="false" customHeight="true" outlineLevel="0" collapsed="false">
      <c r="A873" s="26"/>
      <c r="C873" s="22"/>
      <c r="D873" s="22"/>
      <c r="E873" s="22"/>
      <c r="F873" s="22"/>
    </row>
    <row r="874" customFormat="false" ht="15" hidden="false" customHeight="true" outlineLevel="0" collapsed="false">
      <c r="A874" s="26"/>
      <c r="C874" s="22"/>
      <c r="D874" s="22"/>
      <c r="E874" s="22"/>
      <c r="F874" s="22"/>
    </row>
    <row r="875" customFormat="false" ht="15" hidden="false" customHeight="true" outlineLevel="0" collapsed="false">
      <c r="A875" s="26"/>
      <c r="C875" s="22"/>
      <c r="D875" s="22"/>
      <c r="E875" s="22"/>
      <c r="F875" s="22"/>
    </row>
    <row r="876" customFormat="false" ht="15" hidden="false" customHeight="true" outlineLevel="0" collapsed="false">
      <c r="A876" s="26"/>
      <c r="C876" s="22"/>
      <c r="D876" s="22"/>
      <c r="E876" s="22"/>
      <c r="F876" s="22"/>
    </row>
    <row r="877" customFormat="false" ht="15" hidden="false" customHeight="true" outlineLevel="0" collapsed="false">
      <c r="A877" s="26"/>
      <c r="C877" s="22"/>
      <c r="D877" s="22"/>
      <c r="E877" s="22"/>
      <c r="F877" s="22"/>
    </row>
    <row r="878" customFormat="false" ht="15" hidden="false" customHeight="true" outlineLevel="0" collapsed="false">
      <c r="A878" s="26"/>
      <c r="C878" s="22"/>
      <c r="D878" s="22"/>
      <c r="E878" s="22"/>
      <c r="F878" s="22"/>
    </row>
    <row r="879" customFormat="false" ht="15" hidden="false" customHeight="true" outlineLevel="0" collapsed="false">
      <c r="A879" s="26"/>
      <c r="C879" s="22"/>
      <c r="D879" s="22"/>
      <c r="E879" s="22"/>
      <c r="F879" s="22"/>
    </row>
    <row r="880" customFormat="false" ht="15" hidden="false" customHeight="true" outlineLevel="0" collapsed="false">
      <c r="A880" s="26"/>
      <c r="C880" s="22"/>
      <c r="D880" s="22"/>
      <c r="E880" s="22"/>
      <c r="F880" s="22"/>
    </row>
    <row r="881" customFormat="false" ht="15" hidden="false" customHeight="true" outlineLevel="0" collapsed="false">
      <c r="A881" s="26"/>
      <c r="C881" s="22"/>
      <c r="D881" s="22"/>
      <c r="E881" s="22"/>
      <c r="F881" s="22"/>
    </row>
    <row r="882" customFormat="false" ht="15" hidden="false" customHeight="true" outlineLevel="0" collapsed="false">
      <c r="A882" s="26"/>
      <c r="C882" s="22"/>
      <c r="D882" s="22"/>
      <c r="E882" s="22"/>
      <c r="F882" s="22"/>
    </row>
    <row r="883" customFormat="false" ht="15" hidden="false" customHeight="true" outlineLevel="0" collapsed="false">
      <c r="A883" s="26"/>
      <c r="C883" s="22"/>
      <c r="D883" s="22"/>
      <c r="E883" s="22"/>
      <c r="F883" s="22"/>
    </row>
    <row r="884" customFormat="false" ht="15" hidden="false" customHeight="true" outlineLevel="0" collapsed="false">
      <c r="A884" s="26"/>
      <c r="C884" s="22"/>
      <c r="D884" s="22"/>
      <c r="E884" s="22"/>
      <c r="F884" s="22"/>
    </row>
    <row r="885" customFormat="false" ht="15" hidden="false" customHeight="true" outlineLevel="0" collapsed="false">
      <c r="A885" s="26"/>
      <c r="C885" s="22"/>
      <c r="D885" s="22"/>
      <c r="E885" s="22"/>
      <c r="F885" s="22"/>
    </row>
    <row r="886" customFormat="false" ht="15" hidden="false" customHeight="true" outlineLevel="0" collapsed="false">
      <c r="A886" s="26"/>
      <c r="C886" s="22"/>
      <c r="D886" s="22"/>
      <c r="E886" s="22"/>
      <c r="F886" s="22"/>
    </row>
    <row r="887" customFormat="false" ht="15" hidden="false" customHeight="true" outlineLevel="0" collapsed="false">
      <c r="A887" s="26"/>
      <c r="C887" s="22"/>
      <c r="D887" s="22"/>
      <c r="E887" s="22"/>
      <c r="F887" s="22"/>
    </row>
    <row r="888" customFormat="false" ht="15" hidden="false" customHeight="true" outlineLevel="0" collapsed="false">
      <c r="A888" s="26"/>
      <c r="C888" s="22"/>
      <c r="D888" s="22"/>
      <c r="E888" s="22"/>
      <c r="F888" s="22"/>
    </row>
    <row r="889" customFormat="false" ht="15" hidden="false" customHeight="true" outlineLevel="0" collapsed="false">
      <c r="A889" s="26"/>
      <c r="C889" s="22"/>
      <c r="D889" s="22"/>
      <c r="E889" s="22"/>
      <c r="F889" s="22"/>
    </row>
    <row r="890" customFormat="false" ht="15" hidden="false" customHeight="true" outlineLevel="0" collapsed="false">
      <c r="A890" s="26"/>
      <c r="C890" s="22"/>
      <c r="D890" s="22"/>
      <c r="E890" s="22"/>
      <c r="F890" s="22"/>
    </row>
    <row r="891" customFormat="false" ht="15" hidden="false" customHeight="true" outlineLevel="0" collapsed="false">
      <c r="A891" s="26"/>
      <c r="C891" s="22"/>
      <c r="D891" s="22"/>
      <c r="E891" s="22"/>
      <c r="F891" s="22"/>
    </row>
    <row r="892" customFormat="false" ht="15" hidden="false" customHeight="true" outlineLevel="0" collapsed="false">
      <c r="A892" s="26"/>
      <c r="C892" s="22"/>
      <c r="D892" s="22"/>
      <c r="E892" s="22"/>
      <c r="F892" s="22"/>
    </row>
    <row r="893" customFormat="false" ht="15" hidden="false" customHeight="true" outlineLevel="0" collapsed="false">
      <c r="A893" s="26"/>
      <c r="C893" s="22"/>
      <c r="D893" s="22"/>
      <c r="E893" s="22"/>
      <c r="F893" s="22"/>
    </row>
    <row r="894" customFormat="false" ht="15" hidden="false" customHeight="true" outlineLevel="0" collapsed="false">
      <c r="A894" s="26"/>
      <c r="C894" s="22"/>
      <c r="D894" s="22"/>
      <c r="E894" s="22"/>
      <c r="F894" s="22"/>
    </row>
    <row r="895" customFormat="false" ht="15" hidden="false" customHeight="true" outlineLevel="0" collapsed="false">
      <c r="A895" s="26"/>
      <c r="C895" s="22"/>
      <c r="D895" s="22"/>
      <c r="E895" s="22"/>
      <c r="F895" s="22"/>
    </row>
    <row r="896" customFormat="false" ht="15" hidden="false" customHeight="true" outlineLevel="0" collapsed="false">
      <c r="A896" s="26"/>
      <c r="C896" s="22"/>
      <c r="D896" s="22"/>
      <c r="E896" s="22"/>
      <c r="F896" s="22"/>
    </row>
    <row r="897" customFormat="false" ht="15" hidden="false" customHeight="true" outlineLevel="0" collapsed="false">
      <c r="A897" s="26"/>
      <c r="C897" s="22"/>
      <c r="D897" s="22"/>
      <c r="E897" s="22"/>
      <c r="F897" s="22"/>
    </row>
    <row r="898" customFormat="false" ht="15" hidden="false" customHeight="true" outlineLevel="0" collapsed="false">
      <c r="A898" s="26"/>
      <c r="C898" s="22"/>
      <c r="D898" s="22"/>
      <c r="E898" s="22"/>
      <c r="F898" s="22"/>
    </row>
    <row r="899" customFormat="false" ht="15" hidden="false" customHeight="true" outlineLevel="0" collapsed="false">
      <c r="A899" s="26"/>
      <c r="C899" s="22"/>
      <c r="D899" s="22"/>
      <c r="E899" s="22"/>
      <c r="F899" s="22"/>
    </row>
    <row r="900" customFormat="false" ht="15" hidden="false" customHeight="true" outlineLevel="0" collapsed="false">
      <c r="A900" s="26"/>
      <c r="C900" s="22"/>
      <c r="D900" s="22"/>
      <c r="E900" s="22"/>
      <c r="F900" s="22"/>
    </row>
    <row r="901" customFormat="false" ht="15" hidden="false" customHeight="true" outlineLevel="0" collapsed="false">
      <c r="A901" s="26"/>
      <c r="C901" s="22"/>
      <c r="D901" s="22"/>
      <c r="E901" s="22"/>
      <c r="F901" s="22"/>
    </row>
    <row r="902" customFormat="false" ht="15" hidden="false" customHeight="true" outlineLevel="0" collapsed="false">
      <c r="A902" s="26"/>
      <c r="C902" s="22"/>
      <c r="D902" s="22"/>
      <c r="E902" s="22"/>
      <c r="F902" s="22"/>
    </row>
    <row r="903" customFormat="false" ht="15" hidden="false" customHeight="true" outlineLevel="0" collapsed="false">
      <c r="A903" s="26"/>
      <c r="C903" s="22"/>
      <c r="D903" s="22"/>
      <c r="E903" s="22"/>
      <c r="F903" s="22"/>
    </row>
    <row r="904" customFormat="false" ht="15" hidden="false" customHeight="true" outlineLevel="0" collapsed="false">
      <c r="A904" s="26"/>
      <c r="C904" s="22"/>
      <c r="D904" s="22"/>
      <c r="E904" s="22"/>
      <c r="F904" s="22"/>
    </row>
    <row r="905" customFormat="false" ht="15" hidden="false" customHeight="true" outlineLevel="0" collapsed="false">
      <c r="A905" s="26"/>
      <c r="C905" s="22"/>
      <c r="D905" s="22"/>
      <c r="E905" s="22"/>
      <c r="F905" s="22"/>
    </row>
    <row r="906" customFormat="false" ht="15" hidden="false" customHeight="true" outlineLevel="0" collapsed="false">
      <c r="A906" s="26"/>
      <c r="C906" s="22"/>
      <c r="D906" s="22"/>
      <c r="E906" s="22"/>
      <c r="F906" s="22"/>
    </row>
    <row r="907" customFormat="false" ht="15" hidden="false" customHeight="true" outlineLevel="0" collapsed="false">
      <c r="A907" s="26"/>
      <c r="C907" s="22"/>
      <c r="D907" s="22"/>
      <c r="E907" s="22"/>
      <c r="F907" s="22"/>
    </row>
    <row r="908" customFormat="false" ht="15" hidden="false" customHeight="true" outlineLevel="0" collapsed="false">
      <c r="A908" s="26"/>
      <c r="C908" s="22"/>
      <c r="D908" s="22"/>
      <c r="E908" s="22"/>
      <c r="F908" s="22"/>
    </row>
    <row r="909" customFormat="false" ht="15" hidden="false" customHeight="true" outlineLevel="0" collapsed="false">
      <c r="A909" s="26"/>
      <c r="C909" s="22"/>
      <c r="D909" s="22"/>
      <c r="E909" s="22"/>
      <c r="F909" s="22"/>
    </row>
    <row r="910" customFormat="false" ht="15" hidden="false" customHeight="true" outlineLevel="0" collapsed="false">
      <c r="A910" s="26"/>
      <c r="C910" s="22"/>
      <c r="D910" s="22"/>
      <c r="E910" s="22"/>
      <c r="F910" s="22"/>
    </row>
    <row r="911" customFormat="false" ht="15" hidden="false" customHeight="true" outlineLevel="0" collapsed="false">
      <c r="A911" s="26"/>
      <c r="C911" s="22"/>
      <c r="D911" s="22"/>
      <c r="E911" s="22"/>
      <c r="F911" s="22"/>
    </row>
    <row r="912" customFormat="false" ht="15" hidden="false" customHeight="true" outlineLevel="0" collapsed="false">
      <c r="A912" s="26"/>
      <c r="C912" s="22"/>
      <c r="D912" s="22"/>
      <c r="E912" s="22"/>
      <c r="F912" s="22"/>
    </row>
    <row r="913" customFormat="false" ht="15" hidden="false" customHeight="true" outlineLevel="0" collapsed="false">
      <c r="A913" s="26"/>
      <c r="C913" s="22"/>
      <c r="D913" s="22"/>
      <c r="E913" s="22"/>
      <c r="F913" s="22"/>
    </row>
    <row r="914" customFormat="false" ht="15" hidden="false" customHeight="true" outlineLevel="0" collapsed="false">
      <c r="A914" s="26"/>
      <c r="C914" s="22"/>
      <c r="D914" s="22"/>
      <c r="E914" s="22"/>
      <c r="F914" s="22"/>
    </row>
    <row r="915" customFormat="false" ht="15" hidden="false" customHeight="true" outlineLevel="0" collapsed="false">
      <c r="A915" s="26"/>
      <c r="C915" s="22"/>
      <c r="D915" s="22"/>
      <c r="E915" s="22"/>
      <c r="F915" s="22"/>
    </row>
    <row r="916" customFormat="false" ht="15" hidden="false" customHeight="true" outlineLevel="0" collapsed="false">
      <c r="A916" s="26"/>
      <c r="C916" s="22"/>
      <c r="D916" s="22"/>
      <c r="E916" s="22"/>
      <c r="F916" s="22"/>
    </row>
    <row r="917" customFormat="false" ht="15" hidden="false" customHeight="true" outlineLevel="0" collapsed="false">
      <c r="A917" s="26"/>
      <c r="C917" s="22"/>
      <c r="D917" s="22"/>
      <c r="E917" s="22"/>
      <c r="F917" s="22"/>
    </row>
    <row r="918" customFormat="false" ht="15" hidden="false" customHeight="true" outlineLevel="0" collapsed="false">
      <c r="A918" s="26"/>
      <c r="C918" s="22"/>
      <c r="D918" s="22"/>
      <c r="E918" s="22"/>
      <c r="F918" s="22"/>
    </row>
    <row r="919" customFormat="false" ht="15" hidden="false" customHeight="true" outlineLevel="0" collapsed="false">
      <c r="A919" s="26"/>
      <c r="C919" s="22"/>
      <c r="D919" s="22"/>
      <c r="E919" s="22"/>
      <c r="F919" s="22"/>
    </row>
    <row r="920" customFormat="false" ht="15" hidden="false" customHeight="true" outlineLevel="0" collapsed="false">
      <c r="A920" s="26"/>
      <c r="C920" s="22"/>
      <c r="D920" s="22"/>
      <c r="E920" s="22"/>
      <c r="F920" s="22"/>
    </row>
    <row r="921" customFormat="false" ht="15" hidden="false" customHeight="true" outlineLevel="0" collapsed="false">
      <c r="A921" s="26"/>
      <c r="C921" s="22"/>
      <c r="D921" s="22"/>
      <c r="E921" s="22"/>
      <c r="F921" s="22"/>
    </row>
    <row r="922" customFormat="false" ht="15" hidden="false" customHeight="true" outlineLevel="0" collapsed="false">
      <c r="A922" s="26"/>
      <c r="C922" s="22"/>
      <c r="D922" s="22"/>
      <c r="E922" s="22"/>
      <c r="F922" s="22"/>
    </row>
    <row r="923" customFormat="false" ht="15" hidden="false" customHeight="true" outlineLevel="0" collapsed="false">
      <c r="A923" s="26"/>
      <c r="C923" s="22"/>
      <c r="D923" s="22"/>
      <c r="E923" s="22"/>
      <c r="F923" s="22"/>
    </row>
    <row r="924" customFormat="false" ht="15" hidden="false" customHeight="true" outlineLevel="0" collapsed="false">
      <c r="A924" s="26"/>
      <c r="C924" s="22"/>
      <c r="D924" s="22"/>
      <c r="E924" s="22"/>
      <c r="F924" s="22"/>
    </row>
    <row r="925" customFormat="false" ht="15" hidden="false" customHeight="true" outlineLevel="0" collapsed="false">
      <c r="A925" s="26"/>
      <c r="C925" s="22"/>
      <c r="D925" s="22"/>
      <c r="E925" s="22"/>
      <c r="F925" s="22"/>
    </row>
    <row r="926" customFormat="false" ht="15" hidden="false" customHeight="true" outlineLevel="0" collapsed="false">
      <c r="A926" s="26"/>
      <c r="C926" s="22"/>
      <c r="D926" s="22"/>
      <c r="E926" s="22"/>
      <c r="F926" s="22"/>
    </row>
    <row r="927" customFormat="false" ht="15" hidden="false" customHeight="true" outlineLevel="0" collapsed="false">
      <c r="A927" s="26"/>
      <c r="C927" s="22"/>
      <c r="D927" s="22"/>
      <c r="E927" s="22"/>
      <c r="F927" s="22"/>
    </row>
    <row r="928" customFormat="false" ht="15" hidden="false" customHeight="true" outlineLevel="0" collapsed="false">
      <c r="A928" s="26"/>
      <c r="C928" s="22"/>
      <c r="D928" s="22"/>
      <c r="E928" s="22"/>
      <c r="F928" s="22"/>
    </row>
    <row r="929" customFormat="false" ht="15" hidden="false" customHeight="true" outlineLevel="0" collapsed="false">
      <c r="A929" s="26"/>
      <c r="C929" s="22"/>
      <c r="D929" s="22"/>
      <c r="E929" s="22"/>
      <c r="F929" s="22"/>
    </row>
    <row r="930" customFormat="false" ht="15" hidden="false" customHeight="true" outlineLevel="0" collapsed="false">
      <c r="A930" s="26"/>
      <c r="C930" s="22"/>
      <c r="D930" s="22"/>
      <c r="E930" s="22"/>
      <c r="F930" s="22"/>
    </row>
    <row r="931" customFormat="false" ht="15" hidden="false" customHeight="true" outlineLevel="0" collapsed="false">
      <c r="A931" s="26"/>
      <c r="C931" s="22"/>
      <c r="D931" s="22"/>
      <c r="E931" s="22"/>
      <c r="F931" s="22"/>
    </row>
    <row r="932" customFormat="false" ht="15" hidden="false" customHeight="true" outlineLevel="0" collapsed="false">
      <c r="A932" s="26"/>
      <c r="C932" s="22"/>
      <c r="D932" s="22"/>
      <c r="E932" s="22"/>
      <c r="F932" s="22"/>
    </row>
    <row r="933" customFormat="false" ht="15" hidden="false" customHeight="true" outlineLevel="0" collapsed="false">
      <c r="A933" s="26"/>
      <c r="C933" s="22"/>
      <c r="D933" s="22"/>
      <c r="E933" s="22"/>
      <c r="F933" s="22"/>
    </row>
    <row r="934" customFormat="false" ht="15" hidden="false" customHeight="true" outlineLevel="0" collapsed="false">
      <c r="A934" s="26"/>
      <c r="C934" s="22"/>
      <c r="D934" s="22"/>
      <c r="E934" s="22"/>
      <c r="F934" s="22"/>
    </row>
    <row r="935" customFormat="false" ht="15" hidden="false" customHeight="true" outlineLevel="0" collapsed="false">
      <c r="A935" s="26"/>
      <c r="C935" s="22"/>
      <c r="D935" s="22"/>
      <c r="E935" s="22"/>
      <c r="F935" s="22"/>
    </row>
    <row r="936" customFormat="false" ht="15" hidden="false" customHeight="true" outlineLevel="0" collapsed="false">
      <c r="A936" s="26"/>
      <c r="C936" s="22"/>
      <c r="D936" s="22"/>
      <c r="E936" s="22"/>
      <c r="F936" s="22"/>
    </row>
    <row r="937" customFormat="false" ht="15" hidden="false" customHeight="true" outlineLevel="0" collapsed="false">
      <c r="A937" s="26"/>
      <c r="C937" s="22"/>
      <c r="D937" s="22"/>
      <c r="E937" s="22"/>
      <c r="F937" s="22"/>
    </row>
    <row r="938" customFormat="false" ht="15" hidden="false" customHeight="true" outlineLevel="0" collapsed="false">
      <c r="A938" s="26"/>
      <c r="C938" s="22"/>
      <c r="D938" s="22"/>
      <c r="E938" s="22"/>
      <c r="F938" s="22"/>
    </row>
    <row r="939" customFormat="false" ht="15" hidden="false" customHeight="true" outlineLevel="0" collapsed="false">
      <c r="A939" s="26"/>
      <c r="C939" s="22"/>
      <c r="D939" s="22"/>
      <c r="E939" s="22"/>
      <c r="F939" s="22"/>
    </row>
    <row r="940" customFormat="false" ht="15" hidden="false" customHeight="true" outlineLevel="0" collapsed="false">
      <c r="A940" s="26"/>
      <c r="C940" s="22"/>
      <c r="D940" s="22"/>
      <c r="E940" s="22"/>
      <c r="F940" s="22"/>
    </row>
    <row r="941" customFormat="false" ht="15" hidden="false" customHeight="true" outlineLevel="0" collapsed="false">
      <c r="A941" s="26"/>
      <c r="C941" s="22"/>
      <c r="D941" s="22"/>
      <c r="E941" s="22"/>
      <c r="F941" s="22"/>
    </row>
    <row r="942" customFormat="false" ht="15" hidden="false" customHeight="true" outlineLevel="0" collapsed="false">
      <c r="A942" s="26"/>
      <c r="C942" s="22"/>
      <c r="D942" s="22"/>
      <c r="E942" s="22"/>
      <c r="F942" s="22"/>
    </row>
    <row r="943" customFormat="false" ht="15" hidden="false" customHeight="true" outlineLevel="0" collapsed="false">
      <c r="A943" s="26"/>
      <c r="C943" s="22"/>
      <c r="D943" s="22"/>
      <c r="E943" s="22"/>
      <c r="F943" s="22"/>
    </row>
    <row r="944" customFormat="false" ht="15" hidden="false" customHeight="true" outlineLevel="0" collapsed="false">
      <c r="A944" s="26"/>
      <c r="C944" s="22"/>
      <c r="D944" s="22"/>
      <c r="E944" s="22"/>
      <c r="F944" s="22"/>
    </row>
    <row r="945" customFormat="false" ht="15" hidden="false" customHeight="true" outlineLevel="0" collapsed="false">
      <c r="A945" s="26"/>
      <c r="C945" s="22"/>
      <c r="D945" s="22"/>
      <c r="E945" s="22"/>
      <c r="F945" s="22"/>
    </row>
    <row r="946" customFormat="false" ht="15" hidden="false" customHeight="true" outlineLevel="0" collapsed="false">
      <c r="A946" s="26"/>
      <c r="C946" s="22"/>
      <c r="D946" s="22"/>
      <c r="E946" s="22"/>
      <c r="F946" s="22"/>
    </row>
    <row r="947" customFormat="false" ht="15" hidden="false" customHeight="true" outlineLevel="0" collapsed="false">
      <c r="A947" s="26"/>
      <c r="C947" s="22"/>
      <c r="D947" s="22"/>
      <c r="E947" s="22"/>
      <c r="F947" s="22"/>
    </row>
    <row r="948" customFormat="false" ht="15" hidden="false" customHeight="true" outlineLevel="0" collapsed="false">
      <c r="A948" s="26"/>
      <c r="C948" s="22"/>
      <c r="D948" s="22"/>
      <c r="E948" s="22"/>
      <c r="F948" s="22"/>
    </row>
    <row r="949" customFormat="false" ht="15" hidden="false" customHeight="true" outlineLevel="0" collapsed="false">
      <c r="A949" s="26"/>
      <c r="C949" s="22"/>
      <c r="D949" s="22"/>
      <c r="E949" s="22"/>
      <c r="F949" s="22"/>
    </row>
    <row r="950" customFormat="false" ht="15" hidden="false" customHeight="true" outlineLevel="0" collapsed="false">
      <c r="A950" s="26"/>
      <c r="C950" s="22"/>
      <c r="D950" s="22"/>
      <c r="E950" s="22"/>
      <c r="F950" s="22"/>
    </row>
    <row r="951" customFormat="false" ht="15" hidden="false" customHeight="true" outlineLevel="0" collapsed="false">
      <c r="A951" s="26"/>
      <c r="C951" s="22"/>
      <c r="D951" s="22"/>
      <c r="E951" s="22"/>
      <c r="F951" s="22"/>
    </row>
    <row r="952" customFormat="false" ht="15" hidden="false" customHeight="true" outlineLevel="0" collapsed="false">
      <c r="A952" s="26"/>
      <c r="C952" s="22"/>
      <c r="D952" s="22"/>
      <c r="E952" s="22"/>
      <c r="F952" s="22"/>
    </row>
    <row r="953" customFormat="false" ht="15" hidden="false" customHeight="true" outlineLevel="0" collapsed="false">
      <c r="A953" s="26"/>
      <c r="C953" s="22"/>
      <c r="D953" s="22"/>
      <c r="E953" s="22"/>
      <c r="F953" s="22"/>
    </row>
    <row r="954" customFormat="false" ht="15" hidden="false" customHeight="true" outlineLevel="0" collapsed="false">
      <c r="A954" s="26"/>
      <c r="C954" s="22"/>
      <c r="D954" s="22"/>
      <c r="E954" s="22"/>
      <c r="F954" s="22"/>
    </row>
    <row r="955" customFormat="false" ht="15" hidden="false" customHeight="true" outlineLevel="0" collapsed="false">
      <c r="A955" s="26"/>
      <c r="C955" s="22"/>
      <c r="D955" s="22"/>
      <c r="E955" s="22"/>
      <c r="F955" s="22"/>
    </row>
    <row r="956" customFormat="false" ht="15" hidden="false" customHeight="true" outlineLevel="0" collapsed="false">
      <c r="A956" s="26"/>
      <c r="C956" s="22"/>
      <c r="D956" s="22"/>
      <c r="E956" s="22"/>
      <c r="F956" s="22"/>
    </row>
    <row r="957" customFormat="false" ht="15" hidden="false" customHeight="true" outlineLevel="0" collapsed="false">
      <c r="A957" s="26"/>
      <c r="C957" s="22"/>
      <c r="D957" s="22"/>
      <c r="E957" s="22"/>
      <c r="F957" s="22"/>
    </row>
    <row r="958" customFormat="false" ht="15" hidden="false" customHeight="true" outlineLevel="0" collapsed="false">
      <c r="A958" s="26"/>
      <c r="C958" s="22"/>
      <c r="D958" s="22"/>
      <c r="E958" s="22"/>
      <c r="F958" s="22"/>
    </row>
    <row r="959" customFormat="false" ht="15" hidden="false" customHeight="true" outlineLevel="0" collapsed="false">
      <c r="A959" s="26"/>
      <c r="C959" s="22"/>
      <c r="D959" s="22"/>
      <c r="E959" s="22"/>
      <c r="F959" s="22"/>
    </row>
    <row r="960" customFormat="false" ht="15" hidden="false" customHeight="true" outlineLevel="0" collapsed="false">
      <c r="A960" s="26"/>
      <c r="C960" s="22"/>
      <c r="D960" s="22"/>
      <c r="E960" s="22"/>
      <c r="F960" s="22"/>
    </row>
    <row r="961" customFormat="false" ht="15" hidden="false" customHeight="true" outlineLevel="0" collapsed="false">
      <c r="A961" s="26"/>
      <c r="C961" s="22"/>
      <c r="D961" s="22"/>
      <c r="E961" s="22"/>
      <c r="F961" s="22"/>
    </row>
    <row r="962" customFormat="false" ht="15" hidden="false" customHeight="true" outlineLevel="0" collapsed="false">
      <c r="A962" s="26"/>
      <c r="C962" s="22"/>
      <c r="D962" s="22"/>
      <c r="E962" s="22"/>
      <c r="F962" s="22"/>
    </row>
    <row r="963" customFormat="false" ht="15" hidden="false" customHeight="true" outlineLevel="0" collapsed="false">
      <c r="A963" s="26"/>
      <c r="C963" s="22"/>
      <c r="D963" s="22"/>
      <c r="E963" s="22"/>
      <c r="F963" s="22"/>
    </row>
    <row r="964" customFormat="false" ht="15" hidden="false" customHeight="true" outlineLevel="0" collapsed="false">
      <c r="A964" s="26"/>
      <c r="C964" s="22"/>
      <c r="D964" s="22"/>
      <c r="E964" s="22"/>
      <c r="F964" s="22"/>
    </row>
    <row r="965" customFormat="false" ht="15" hidden="false" customHeight="true" outlineLevel="0" collapsed="false">
      <c r="A965" s="26"/>
      <c r="C965" s="22"/>
      <c r="D965" s="22"/>
      <c r="E965" s="22"/>
      <c r="F965" s="22"/>
    </row>
    <row r="966" customFormat="false" ht="15" hidden="false" customHeight="true" outlineLevel="0" collapsed="false">
      <c r="A966" s="26"/>
      <c r="C966" s="22"/>
      <c r="D966" s="22"/>
      <c r="E966" s="22"/>
      <c r="F966" s="22"/>
    </row>
    <row r="967" customFormat="false" ht="15" hidden="false" customHeight="true" outlineLevel="0" collapsed="false">
      <c r="A967" s="26"/>
      <c r="C967" s="22"/>
      <c r="D967" s="22"/>
      <c r="E967" s="22"/>
      <c r="F967" s="22"/>
    </row>
    <row r="968" customFormat="false" ht="15" hidden="false" customHeight="true" outlineLevel="0" collapsed="false">
      <c r="A968" s="26"/>
      <c r="C968" s="22"/>
      <c r="D968" s="22"/>
      <c r="E968" s="22"/>
      <c r="F968" s="22"/>
    </row>
    <row r="969" customFormat="false" ht="15" hidden="false" customHeight="true" outlineLevel="0" collapsed="false">
      <c r="A969" s="26"/>
      <c r="C969" s="22"/>
      <c r="D969" s="22"/>
      <c r="E969" s="22"/>
      <c r="F969" s="22"/>
    </row>
    <row r="970" customFormat="false" ht="15" hidden="false" customHeight="true" outlineLevel="0" collapsed="false">
      <c r="A970" s="26"/>
      <c r="C970" s="22"/>
      <c r="D970" s="22"/>
      <c r="E970" s="22"/>
      <c r="F970" s="22"/>
    </row>
    <row r="971" customFormat="false" ht="15" hidden="false" customHeight="true" outlineLevel="0" collapsed="false">
      <c r="A971" s="26"/>
      <c r="C971" s="22"/>
      <c r="D971" s="22"/>
      <c r="E971" s="22"/>
      <c r="F971" s="22"/>
    </row>
    <row r="972" customFormat="false" ht="15" hidden="false" customHeight="true" outlineLevel="0" collapsed="false">
      <c r="A972" s="26"/>
      <c r="C972" s="22"/>
      <c r="D972" s="22"/>
      <c r="E972" s="22"/>
      <c r="F972" s="22"/>
    </row>
    <row r="973" customFormat="false" ht="15" hidden="false" customHeight="true" outlineLevel="0" collapsed="false">
      <c r="A973" s="26"/>
      <c r="C973" s="22"/>
      <c r="D973" s="22"/>
      <c r="E973" s="22"/>
      <c r="F973" s="22"/>
    </row>
    <row r="974" customFormat="false" ht="15" hidden="false" customHeight="true" outlineLevel="0" collapsed="false">
      <c r="A974" s="26"/>
      <c r="C974" s="22"/>
      <c r="D974" s="22"/>
      <c r="E974" s="22"/>
      <c r="F974" s="22"/>
    </row>
    <row r="975" customFormat="false" ht="15" hidden="false" customHeight="true" outlineLevel="0" collapsed="false">
      <c r="A975" s="26"/>
      <c r="C975" s="22"/>
      <c r="D975" s="22"/>
      <c r="E975" s="22"/>
      <c r="F975" s="22"/>
    </row>
    <row r="976" customFormat="false" ht="15" hidden="false" customHeight="true" outlineLevel="0" collapsed="false">
      <c r="A976" s="26"/>
      <c r="C976" s="22"/>
      <c r="D976" s="22"/>
      <c r="E976" s="22"/>
      <c r="F976" s="22"/>
    </row>
    <row r="977" customFormat="false" ht="15" hidden="false" customHeight="true" outlineLevel="0" collapsed="false">
      <c r="A977" s="26"/>
      <c r="C977" s="22"/>
      <c r="D977" s="22"/>
      <c r="E977" s="22"/>
      <c r="F977" s="22"/>
    </row>
    <row r="978" customFormat="false" ht="15" hidden="false" customHeight="true" outlineLevel="0" collapsed="false">
      <c r="A978" s="26"/>
      <c r="C978" s="22"/>
      <c r="D978" s="22"/>
      <c r="E978" s="22"/>
      <c r="F978" s="22"/>
    </row>
    <row r="979" customFormat="false" ht="15" hidden="false" customHeight="true" outlineLevel="0" collapsed="false">
      <c r="A979" s="26"/>
      <c r="C979" s="22"/>
      <c r="D979" s="22"/>
      <c r="E979" s="22"/>
      <c r="F979" s="22"/>
    </row>
    <row r="980" customFormat="false" ht="15" hidden="false" customHeight="true" outlineLevel="0" collapsed="false">
      <c r="A980" s="26"/>
      <c r="C980" s="22"/>
      <c r="D980" s="22"/>
      <c r="E980" s="22"/>
      <c r="F980" s="22"/>
    </row>
    <row r="981" customFormat="false" ht="15" hidden="false" customHeight="true" outlineLevel="0" collapsed="false">
      <c r="A981" s="26"/>
      <c r="C981" s="22"/>
      <c r="D981" s="22"/>
      <c r="E981" s="22"/>
      <c r="F981" s="22"/>
    </row>
    <row r="982" customFormat="false" ht="15" hidden="false" customHeight="true" outlineLevel="0" collapsed="false">
      <c r="A982" s="26"/>
      <c r="C982" s="22"/>
      <c r="D982" s="22"/>
      <c r="E982" s="22"/>
      <c r="F982" s="22"/>
    </row>
    <row r="983" customFormat="false" ht="15" hidden="false" customHeight="true" outlineLevel="0" collapsed="false">
      <c r="A983" s="26"/>
      <c r="C983" s="22"/>
      <c r="D983" s="22"/>
      <c r="E983" s="22"/>
      <c r="F983" s="22"/>
    </row>
    <row r="984" customFormat="false" ht="15" hidden="false" customHeight="true" outlineLevel="0" collapsed="false">
      <c r="A984" s="26"/>
      <c r="C984" s="22"/>
      <c r="D984" s="22"/>
      <c r="E984" s="22"/>
      <c r="F984" s="22"/>
    </row>
    <row r="985" customFormat="false" ht="15" hidden="false" customHeight="true" outlineLevel="0" collapsed="false">
      <c r="A985" s="26"/>
      <c r="C985" s="22"/>
      <c r="D985" s="22"/>
      <c r="E985" s="22"/>
      <c r="F985" s="22"/>
    </row>
    <row r="986" customFormat="false" ht="15" hidden="false" customHeight="true" outlineLevel="0" collapsed="false">
      <c r="A986" s="26"/>
      <c r="C986" s="22"/>
      <c r="D986" s="22"/>
      <c r="E986" s="22"/>
      <c r="F986" s="22"/>
    </row>
    <row r="987" customFormat="false" ht="15" hidden="false" customHeight="true" outlineLevel="0" collapsed="false">
      <c r="A987" s="26"/>
      <c r="C987" s="22"/>
      <c r="D987" s="22"/>
      <c r="E987" s="22"/>
      <c r="F987" s="22"/>
    </row>
    <row r="988" customFormat="false" ht="15" hidden="false" customHeight="true" outlineLevel="0" collapsed="false">
      <c r="A988" s="26"/>
      <c r="C988" s="22"/>
      <c r="D988" s="22"/>
      <c r="E988" s="22"/>
      <c r="F988" s="22"/>
    </row>
    <row r="989" customFormat="false" ht="15" hidden="false" customHeight="true" outlineLevel="0" collapsed="false">
      <c r="A989" s="26"/>
      <c r="C989" s="22"/>
      <c r="D989" s="22"/>
      <c r="E989" s="22"/>
      <c r="F989" s="22"/>
    </row>
    <row r="990" customFormat="false" ht="15" hidden="false" customHeight="true" outlineLevel="0" collapsed="false">
      <c r="A990" s="26"/>
      <c r="C990" s="22"/>
      <c r="D990" s="22"/>
      <c r="E990" s="22"/>
      <c r="F990" s="22"/>
    </row>
    <row r="991" customFormat="false" ht="15" hidden="false" customHeight="true" outlineLevel="0" collapsed="false">
      <c r="A991" s="26"/>
      <c r="C991" s="22"/>
      <c r="D991" s="22"/>
      <c r="E991" s="22"/>
      <c r="F991" s="22"/>
    </row>
    <row r="992" customFormat="false" ht="15" hidden="false" customHeight="true" outlineLevel="0" collapsed="false">
      <c r="A992" s="26"/>
      <c r="C992" s="22"/>
      <c r="D992" s="22"/>
      <c r="E992" s="22"/>
      <c r="F992" s="22"/>
    </row>
    <row r="993" customFormat="false" ht="15" hidden="false" customHeight="true" outlineLevel="0" collapsed="false">
      <c r="A993" s="26"/>
      <c r="C993" s="22"/>
      <c r="D993" s="22"/>
      <c r="E993" s="22"/>
      <c r="F993" s="22"/>
    </row>
    <row r="994" customFormat="false" ht="15" hidden="false" customHeight="true" outlineLevel="0" collapsed="false">
      <c r="A994" s="26"/>
      <c r="C994" s="22"/>
      <c r="D994" s="22"/>
      <c r="E994" s="22"/>
      <c r="F994" s="22"/>
    </row>
    <row r="995" customFormat="false" ht="15" hidden="false" customHeight="true" outlineLevel="0" collapsed="false">
      <c r="A995" s="26"/>
      <c r="C995" s="22"/>
      <c r="D995" s="22"/>
      <c r="E995" s="22"/>
      <c r="F995" s="22"/>
    </row>
    <row r="996" customFormat="false" ht="15" hidden="false" customHeight="true" outlineLevel="0" collapsed="false">
      <c r="A996" s="26"/>
      <c r="C996" s="22"/>
      <c r="D996" s="22"/>
      <c r="E996" s="22"/>
      <c r="F996" s="22"/>
    </row>
    <row r="997" customFormat="false" ht="15" hidden="false" customHeight="true" outlineLevel="0" collapsed="false">
      <c r="A997" s="26"/>
      <c r="C997" s="22"/>
      <c r="D997" s="22"/>
      <c r="E997" s="22"/>
      <c r="F997" s="22"/>
    </row>
    <row r="998" customFormat="false" ht="15" hidden="false" customHeight="true" outlineLevel="0" collapsed="false">
      <c r="A998" s="26"/>
      <c r="C998" s="22"/>
      <c r="D998" s="22"/>
      <c r="E998" s="22"/>
      <c r="F998" s="22"/>
    </row>
    <row r="999" customFormat="false" ht="15" hidden="false" customHeight="true" outlineLevel="0" collapsed="false">
      <c r="A999" s="26"/>
      <c r="C999" s="22"/>
      <c r="D999" s="22"/>
      <c r="E999" s="22"/>
      <c r="F999" s="22"/>
    </row>
    <row r="1000" customFormat="false" ht="15" hidden="false" customHeight="true" outlineLevel="0" collapsed="false">
      <c r="A1000" s="26"/>
      <c r="C1000" s="22"/>
      <c r="D1000" s="22"/>
      <c r="E1000" s="22"/>
      <c r="F1000" s="22"/>
    </row>
    <row r="1001" customFormat="false" ht="15" hidden="false" customHeight="true" outlineLevel="0" collapsed="false">
      <c r="A1001" s="26"/>
      <c r="C1001" s="22"/>
      <c r="D1001" s="22"/>
      <c r="E1001" s="22"/>
      <c r="F1001" s="22"/>
    </row>
    <row r="1002" customFormat="false" ht="15" hidden="false" customHeight="true" outlineLevel="0" collapsed="false">
      <c r="A1002" s="26"/>
      <c r="C1002" s="22"/>
      <c r="D1002" s="22"/>
      <c r="E1002" s="22"/>
      <c r="F1002" s="22"/>
    </row>
    <row r="1003" customFormat="false" ht="15" hidden="false" customHeight="true" outlineLevel="0" collapsed="false">
      <c r="A1003" s="26"/>
      <c r="C1003" s="22"/>
      <c r="D1003" s="22"/>
      <c r="E1003" s="22"/>
      <c r="F1003" s="22"/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55"/>
  </cols>
  <sheetData>
    <row r="1" customFormat="false" ht="19.5" hidden="false" customHeight="true" outlineLevel="0" collapsed="false">
      <c r="A1" s="9" t="s">
        <v>38</v>
      </c>
      <c r="B1" s="9" t="s">
        <v>77</v>
      </c>
      <c r="C1" s="9" t="s">
        <v>78</v>
      </c>
      <c r="D1" s="9" t="s">
        <v>79</v>
      </c>
      <c r="E1" s="9" t="s">
        <v>80</v>
      </c>
    </row>
    <row r="2" customFormat="false" ht="15" hidden="false" customHeight="true" outlineLevel="0" collapsed="false">
      <c r="A2" s="18"/>
      <c r="B2" s="19"/>
      <c r="C2" s="19"/>
      <c r="D2" s="29"/>
      <c r="E2" s="19"/>
    </row>
    <row r="3" customFormat="false" ht="15" hidden="false" customHeight="true" outlineLevel="0" collapsed="false">
      <c r="A3" s="18"/>
      <c r="B3" s="19"/>
      <c r="C3" s="19"/>
      <c r="D3" s="29"/>
      <c r="E3" s="19"/>
    </row>
    <row r="4" customFormat="false" ht="15" hidden="false" customHeight="true" outlineLevel="0" collapsed="false">
      <c r="A4" s="18"/>
      <c r="B4" s="19"/>
      <c r="C4" s="19"/>
      <c r="D4" s="29"/>
      <c r="E4" s="19"/>
    </row>
    <row r="5" customFormat="false" ht="15" hidden="false" customHeight="true" outlineLevel="0" collapsed="false">
      <c r="A5" s="18"/>
      <c r="B5" s="19"/>
      <c r="C5" s="19"/>
      <c r="D5" s="29"/>
      <c r="E5" s="19"/>
    </row>
    <row r="6" customFormat="false" ht="15" hidden="false" customHeight="true" outlineLevel="0" collapsed="false">
      <c r="A6" s="18"/>
      <c r="B6" s="19"/>
      <c r="C6" s="19"/>
      <c r="D6" s="29"/>
      <c r="E6" s="19"/>
    </row>
    <row r="7" customFormat="false" ht="15" hidden="false" customHeight="true" outlineLevel="0" collapsed="false">
      <c r="A7" s="18"/>
      <c r="B7" s="19"/>
      <c r="C7" s="19"/>
      <c r="D7" s="29"/>
      <c r="E7" s="19"/>
    </row>
    <row r="8" customFormat="false" ht="15" hidden="false" customHeight="true" outlineLevel="0" collapsed="false">
      <c r="A8" s="18"/>
      <c r="B8" s="19"/>
      <c r="C8" s="19"/>
      <c r="D8" s="29"/>
      <c r="E8" s="19"/>
    </row>
    <row r="9" customFormat="false" ht="15" hidden="false" customHeight="true" outlineLevel="0" collapsed="false">
      <c r="A9" s="18"/>
      <c r="B9" s="19"/>
      <c r="C9" s="19"/>
      <c r="D9" s="29"/>
      <c r="E9" s="19"/>
    </row>
    <row r="10" customFormat="false" ht="15" hidden="false" customHeight="true" outlineLevel="0" collapsed="false">
      <c r="A10" s="18"/>
      <c r="B10" s="19"/>
      <c r="C10" s="19"/>
      <c r="D10" s="29"/>
      <c r="E10" s="19"/>
    </row>
    <row r="11" customFormat="false" ht="15" hidden="false" customHeight="true" outlineLevel="0" collapsed="false">
      <c r="A11" s="18"/>
      <c r="B11" s="19"/>
      <c r="C11" s="19"/>
      <c r="D11" s="29"/>
      <c r="E11" s="19"/>
    </row>
    <row r="12" customFormat="false" ht="15" hidden="false" customHeight="true" outlineLevel="0" collapsed="false">
      <c r="A12" s="18"/>
      <c r="B12" s="19"/>
      <c r="C12" s="19"/>
      <c r="D12" s="29"/>
      <c r="E12" s="19"/>
    </row>
    <row r="13" customFormat="false" ht="15" hidden="false" customHeight="true" outlineLevel="0" collapsed="false">
      <c r="A13" s="18"/>
      <c r="B13" s="19"/>
      <c r="C13" s="19"/>
      <c r="D13" s="29"/>
      <c r="E13" s="19"/>
    </row>
    <row r="14" customFormat="false" ht="15" hidden="false" customHeight="true" outlineLevel="0" collapsed="false">
      <c r="A14" s="18"/>
      <c r="B14" s="19"/>
      <c r="C14" s="19"/>
      <c r="D14" s="29"/>
      <c r="E14" s="19"/>
    </row>
    <row r="15" customFormat="false" ht="15" hidden="false" customHeight="true" outlineLevel="0" collapsed="false">
      <c r="A15" s="18"/>
      <c r="B15" s="19"/>
      <c r="C15" s="19"/>
      <c r="D15" s="29"/>
      <c r="E15" s="19"/>
    </row>
    <row r="16" customFormat="false" ht="15" hidden="false" customHeight="true" outlineLevel="0" collapsed="false">
      <c r="A16" s="18"/>
      <c r="B16" s="19"/>
      <c r="C16" s="19"/>
      <c r="D16" s="29"/>
      <c r="E16" s="19"/>
    </row>
    <row r="17" customFormat="false" ht="15" hidden="false" customHeight="true" outlineLevel="0" collapsed="false">
      <c r="A17" s="18"/>
      <c r="B17" s="19"/>
      <c r="C17" s="19"/>
      <c r="D17" s="29"/>
      <c r="E17" s="19"/>
    </row>
    <row r="18" customFormat="false" ht="15" hidden="false" customHeight="true" outlineLevel="0" collapsed="false">
      <c r="A18" s="18"/>
      <c r="B18" s="19"/>
      <c r="C18" s="19"/>
      <c r="D18" s="29"/>
      <c r="E18" s="19"/>
    </row>
    <row r="19" customFormat="false" ht="15" hidden="false" customHeight="true" outlineLevel="0" collapsed="false">
      <c r="A19" s="18"/>
      <c r="B19" s="19"/>
      <c r="C19" s="19"/>
      <c r="D19" s="29"/>
      <c r="E19" s="19"/>
    </row>
    <row r="20" customFormat="false" ht="15" hidden="false" customHeight="true" outlineLevel="0" collapsed="false">
      <c r="A20" s="18"/>
      <c r="B20" s="19"/>
      <c r="C20" s="19"/>
      <c r="D20" s="29"/>
      <c r="E20" s="19"/>
    </row>
    <row r="21" customFormat="false" ht="15" hidden="false" customHeight="true" outlineLevel="0" collapsed="false">
      <c r="A21" s="18"/>
      <c r="B21" s="19"/>
      <c r="C21" s="19"/>
      <c r="D21" s="29"/>
      <c r="E21" s="19"/>
    </row>
    <row r="22" customFormat="false" ht="15" hidden="false" customHeight="true" outlineLevel="0" collapsed="false">
      <c r="A22" s="18"/>
      <c r="B22" s="19"/>
      <c r="C22" s="19"/>
      <c r="D22" s="29"/>
      <c r="E22" s="19"/>
    </row>
    <row r="23" customFormat="false" ht="15" hidden="false" customHeight="true" outlineLevel="0" collapsed="false">
      <c r="A23" s="18"/>
      <c r="B23" s="19"/>
      <c r="C23" s="19"/>
      <c r="D23" s="29"/>
      <c r="E23" s="19"/>
    </row>
    <row r="24" customFormat="false" ht="15" hidden="false" customHeight="true" outlineLevel="0" collapsed="false">
      <c r="A24" s="18"/>
      <c r="B24" s="19"/>
      <c r="C24" s="19"/>
      <c r="D24" s="29"/>
      <c r="E24" s="19"/>
    </row>
    <row r="25" customFormat="false" ht="15" hidden="false" customHeight="true" outlineLevel="0" collapsed="false">
      <c r="A25" s="18"/>
      <c r="B25" s="19"/>
      <c r="C25" s="19"/>
      <c r="D25" s="29"/>
      <c r="E25" s="19"/>
    </row>
    <row r="26" customFormat="false" ht="15" hidden="false" customHeight="true" outlineLevel="0" collapsed="false">
      <c r="A26" s="18"/>
      <c r="B26" s="19"/>
      <c r="C26" s="19"/>
      <c r="D26" s="29"/>
      <c r="E26" s="19"/>
    </row>
    <row r="27" customFormat="false" ht="15" hidden="false" customHeight="true" outlineLevel="0" collapsed="false">
      <c r="A27" s="18"/>
      <c r="B27" s="19"/>
      <c r="C27" s="19"/>
      <c r="D27" s="29"/>
      <c r="E27" s="19"/>
    </row>
    <row r="28" customFormat="false" ht="15" hidden="false" customHeight="true" outlineLevel="0" collapsed="false">
      <c r="A28" s="18"/>
      <c r="B28" s="19"/>
      <c r="C28" s="19"/>
      <c r="D28" s="29"/>
      <c r="E28" s="19"/>
    </row>
    <row r="29" customFormat="false" ht="15" hidden="false" customHeight="true" outlineLevel="0" collapsed="false">
      <c r="A29" s="18"/>
      <c r="B29" s="19"/>
      <c r="C29" s="19"/>
      <c r="D29" s="29"/>
      <c r="E29" s="19"/>
    </row>
    <row r="30" customFormat="false" ht="15" hidden="false" customHeight="true" outlineLevel="0" collapsed="false">
      <c r="A30" s="18"/>
      <c r="B30" s="19"/>
      <c r="C30" s="19"/>
      <c r="D30" s="29"/>
      <c r="E30" s="19"/>
    </row>
    <row r="31" customFormat="false" ht="15" hidden="false" customHeight="true" outlineLevel="0" collapsed="false">
      <c r="A31" s="18"/>
      <c r="B31" s="19"/>
      <c r="C31" s="19"/>
      <c r="D31" s="29"/>
      <c r="E31" s="19"/>
    </row>
    <row r="32" customFormat="false" ht="15" hidden="false" customHeight="true" outlineLevel="0" collapsed="false">
      <c r="A32" s="18"/>
      <c r="B32" s="19"/>
      <c r="C32" s="19"/>
      <c r="D32" s="29"/>
      <c r="E32" s="19"/>
    </row>
    <row r="33" customFormat="false" ht="15" hidden="false" customHeight="true" outlineLevel="0" collapsed="false">
      <c r="A33" s="18"/>
      <c r="B33" s="19"/>
      <c r="C33" s="19"/>
      <c r="D33" s="29"/>
      <c r="E33" s="19"/>
    </row>
    <row r="34" customFormat="false" ht="15" hidden="false" customHeight="true" outlineLevel="0" collapsed="false">
      <c r="A34" s="18"/>
      <c r="B34" s="19"/>
      <c r="C34" s="19"/>
      <c r="D34" s="29"/>
      <c r="E34" s="19"/>
    </row>
    <row r="35" customFormat="false" ht="15" hidden="false" customHeight="true" outlineLevel="0" collapsed="false">
      <c r="A35" s="18"/>
      <c r="B35" s="19"/>
      <c r="C35" s="19"/>
      <c r="D35" s="29"/>
      <c r="E35" s="19"/>
    </row>
    <row r="36" customFormat="false" ht="15" hidden="false" customHeight="true" outlineLevel="0" collapsed="false">
      <c r="A36" s="18"/>
      <c r="B36" s="19"/>
      <c r="C36" s="19"/>
      <c r="D36" s="29"/>
      <c r="E36" s="19"/>
    </row>
    <row r="37" customFormat="false" ht="15" hidden="false" customHeight="true" outlineLevel="0" collapsed="false">
      <c r="A37" s="23"/>
      <c r="B37" s="24"/>
      <c r="C37" s="24"/>
      <c r="D37" s="30"/>
      <c r="E37" s="24"/>
    </row>
    <row r="38" customFormat="false" ht="15" hidden="false" customHeight="true" outlineLevel="0" collapsed="false">
      <c r="A38" s="23"/>
      <c r="B38" s="24"/>
      <c r="C38" s="24"/>
      <c r="D38" s="30"/>
      <c r="E38" s="24"/>
    </row>
    <row r="39" customFormat="false" ht="15" hidden="false" customHeight="true" outlineLevel="0" collapsed="false">
      <c r="A39" s="23"/>
      <c r="B39" s="24"/>
      <c r="C39" s="24"/>
      <c r="D39" s="30"/>
      <c r="E39" s="24"/>
    </row>
    <row r="40" customFormat="false" ht="15" hidden="false" customHeight="true" outlineLevel="0" collapsed="false">
      <c r="A40" s="23"/>
      <c r="B40" s="24"/>
      <c r="C40" s="24"/>
      <c r="D40" s="30"/>
      <c r="E40" s="24"/>
    </row>
    <row r="41" customFormat="false" ht="15" hidden="false" customHeight="true" outlineLevel="0" collapsed="false">
      <c r="A41" s="23"/>
      <c r="B41" s="24"/>
      <c r="C41" s="24"/>
      <c r="D41" s="30"/>
      <c r="E41" s="24"/>
    </row>
    <row r="42" customFormat="false" ht="15" hidden="false" customHeight="true" outlineLevel="0" collapsed="false">
      <c r="A42" s="23"/>
      <c r="B42" s="24"/>
      <c r="C42" s="24"/>
      <c r="D42" s="30"/>
      <c r="E42" s="24"/>
    </row>
    <row r="43" customFormat="false" ht="15" hidden="false" customHeight="true" outlineLevel="0" collapsed="false">
      <c r="A43" s="23"/>
      <c r="B43" s="24"/>
      <c r="C43" s="24"/>
      <c r="D43" s="30"/>
      <c r="E43" s="24"/>
    </row>
    <row r="44" customFormat="false" ht="15" hidden="false" customHeight="true" outlineLevel="0" collapsed="false">
      <c r="A44" s="26"/>
      <c r="D44" s="31"/>
    </row>
    <row r="45" customFormat="false" ht="15" hidden="false" customHeight="true" outlineLevel="0" collapsed="false">
      <c r="A45" s="26"/>
      <c r="D45" s="31"/>
    </row>
    <row r="46" customFormat="false" ht="15" hidden="false" customHeight="true" outlineLevel="0" collapsed="false">
      <c r="A46" s="26"/>
      <c r="D46" s="31"/>
    </row>
    <row r="47" customFormat="false" ht="15" hidden="false" customHeight="true" outlineLevel="0" collapsed="false">
      <c r="A47" s="26"/>
      <c r="D47" s="31"/>
    </row>
    <row r="48" customFormat="false" ht="15" hidden="false" customHeight="true" outlineLevel="0" collapsed="false">
      <c r="A48" s="26"/>
      <c r="D48" s="31"/>
    </row>
    <row r="49" customFormat="false" ht="15" hidden="false" customHeight="true" outlineLevel="0" collapsed="false">
      <c r="A49" s="26"/>
      <c r="D49" s="31"/>
    </row>
    <row r="50" customFormat="false" ht="15" hidden="false" customHeight="true" outlineLevel="0" collapsed="false">
      <c r="A50" s="26"/>
      <c r="D50" s="31"/>
    </row>
    <row r="51" customFormat="false" ht="15" hidden="false" customHeight="true" outlineLevel="0" collapsed="false">
      <c r="A51" s="26"/>
      <c r="D51" s="31"/>
    </row>
    <row r="52" customFormat="false" ht="15" hidden="false" customHeight="true" outlineLevel="0" collapsed="false">
      <c r="A52" s="26"/>
      <c r="D52" s="31"/>
    </row>
    <row r="53" customFormat="false" ht="15" hidden="false" customHeight="true" outlineLevel="0" collapsed="false">
      <c r="A53" s="26"/>
      <c r="D53" s="31"/>
    </row>
    <row r="54" customFormat="false" ht="15" hidden="false" customHeight="true" outlineLevel="0" collapsed="false">
      <c r="A54" s="26"/>
      <c r="D54" s="31"/>
    </row>
    <row r="55" customFormat="false" ht="15" hidden="false" customHeight="true" outlineLevel="0" collapsed="false">
      <c r="A55" s="26"/>
      <c r="D55" s="31"/>
    </row>
    <row r="56" customFormat="false" ht="15" hidden="false" customHeight="true" outlineLevel="0" collapsed="false">
      <c r="A56" s="26"/>
      <c r="D56" s="31"/>
    </row>
    <row r="57" customFormat="false" ht="15" hidden="false" customHeight="true" outlineLevel="0" collapsed="false">
      <c r="A57" s="26"/>
      <c r="D57" s="31"/>
    </row>
    <row r="58" customFormat="false" ht="15" hidden="false" customHeight="true" outlineLevel="0" collapsed="false">
      <c r="A58" s="26"/>
      <c r="D58" s="31"/>
    </row>
    <row r="59" customFormat="false" ht="15" hidden="false" customHeight="true" outlineLevel="0" collapsed="false">
      <c r="A59" s="26"/>
      <c r="D59" s="31"/>
    </row>
    <row r="60" customFormat="false" ht="15" hidden="false" customHeight="true" outlineLevel="0" collapsed="false">
      <c r="A60" s="26"/>
      <c r="D60" s="31"/>
    </row>
    <row r="61" customFormat="false" ht="15" hidden="false" customHeight="true" outlineLevel="0" collapsed="false">
      <c r="A61" s="26"/>
      <c r="D61" s="31"/>
    </row>
    <row r="62" customFormat="false" ht="15" hidden="false" customHeight="true" outlineLevel="0" collapsed="false">
      <c r="A62" s="26"/>
      <c r="D62" s="31"/>
    </row>
    <row r="63" customFormat="false" ht="15" hidden="false" customHeight="true" outlineLevel="0" collapsed="false">
      <c r="A63" s="26"/>
      <c r="D63" s="31"/>
    </row>
    <row r="64" customFormat="false" ht="15" hidden="false" customHeight="true" outlineLevel="0" collapsed="false">
      <c r="A64" s="26"/>
      <c r="D64" s="31"/>
    </row>
    <row r="65" customFormat="false" ht="15" hidden="false" customHeight="true" outlineLevel="0" collapsed="false">
      <c r="A65" s="26"/>
      <c r="D65" s="31"/>
    </row>
    <row r="66" customFormat="false" ht="15" hidden="false" customHeight="true" outlineLevel="0" collapsed="false">
      <c r="A66" s="26"/>
      <c r="D66" s="31"/>
    </row>
    <row r="67" customFormat="false" ht="15" hidden="false" customHeight="true" outlineLevel="0" collapsed="false">
      <c r="A67" s="26"/>
      <c r="D67" s="31"/>
    </row>
    <row r="68" customFormat="false" ht="15" hidden="false" customHeight="true" outlineLevel="0" collapsed="false">
      <c r="A68" s="26"/>
      <c r="D68" s="31"/>
    </row>
    <row r="69" customFormat="false" ht="15" hidden="false" customHeight="true" outlineLevel="0" collapsed="false">
      <c r="A69" s="26"/>
      <c r="D69" s="31"/>
    </row>
    <row r="70" customFormat="false" ht="15" hidden="false" customHeight="true" outlineLevel="0" collapsed="false">
      <c r="A70" s="26"/>
      <c r="D70" s="31"/>
    </row>
    <row r="71" customFormat="false" ht="15" hidden="false" customHeight="true" outlineLevel="0" collapsed="false">
      <c r="A71" s="26"/>
      <c r="D71" s="31"/>
    </row>
    <row r="72" customFormat="false" ht="15" hidden="false" customHeight="true" outlineLevel="0" collapsed="false">
      <c r="A72" s="26"/>
      <c r="D72" s="31"/>
    </row>
    <row r="73" customFormat="false" ht="15" hidden="false" customHeight="true" outlineLevel="0" collapsed="false">
      <c r="A73" s="26"/>
      <c r="D73" s="31"/>
    </row>
    <row r="74" customFormat="false" ht="15" hidden="false" customHeight="true" outlineLevel="0" collapsed="false">
      <c r="A74" s="26"/>
      <c r="D74" s="31"/>
    </row>
    <row r="75" customFormat="false" ht="15" hidden="false" customHeight="true" outlineLevel="0" collapsed="false">
      <c r="A75" s="26"/>
      <c r="D75" s="31"/>
    </row>
    <row r="76" customFormat="false" ht="15" hidden="false" customHeight="true" outlineLevel="0" collapsed="false">
      <c r="A76" s="26"/>
      <c r="D76" s="31"/>
    </row>
    <row r="77" customFormat="false" ht="15" hidden="false" customHeight="true" outlineLevel="0" collapsed="false">
      <c r="A77" s="26"/>
      <c r="D77" s="31"/>
    </row>
    <row r="78" customFormat="false" ht="15" hidden="false" customHeight="true" outlineLevel="0" collapsed="false">
      <c r="A78" s="26"/>
      <c r="D78" s="31"/>
    </row>
    <row r="79" customFormat="false" ht="15" hidden="false" customHeight="true" outlineLevel="0" collapsed="false">
      <c r="A79" s="26"/>
      <c r="D79" s="31"/>
    </row>
    <row r="80" customFormat="false" ht="15" hidden="false" customHeight="true" outlineLevel="0" collapsed="false">
      <c r="A80" s="26"/>
      <c r="D80" s="31"/>
    </row>
    <row r="81" customFormat="false" ht="15" hidden="false" customHeight="true" outlineLevel="0" collapsed="false">
      <c r="A81" s="26"/>
      <c r="D81" s="31"/>
    </row>
    <row r="82" customFormat="false" ht="15" hidden="false" customHeight="true" outlineLevel="0" collapsed="false">
      <c r="A82" s="26"/>
      <c r="D82" s="31"/>
    </row>
    <row r="83" customFormat="false" ht="15" hidden="false" customHeight="true" outlineLevel="0" collapsed="false">
      <c r="A83" s="26"/>
      <c r="D83" s="31"/>
    </row>
    <row r="84" customFormat="false" ht="15" hidden="false" customHeight="true" outlineLevel="0" collapsed="false">
      <c r="A84" s="26"/>
      <c r="D84" s="31"/>
    </row>
    <row r="85" customFormat="false" ht="15" hidden="false" customHeight="true" outlineLevel="0" collapsed="false">
      <c r="A85" s="26"/>
      <c r="D85" s="31"/>
    </row>
    <row r="86" customFormat="false" ht="15" hidden="false" customHeight="true" outlineLevel="0" collapsed="false">
      <c r="A86" s="26"/>
      <c r="D86" s="31"/>
    </row>
    <row r="87" customFormat="false" ht="15" hidden="false" customHeight="true" outlineLevel="0" collapsed="false">
      <c r="A87" s="26"/>
      <c r="D87" s="31"/>
    </row>
    <row r="88" customFormat="false" ht="15" hidden="false" customHeight="true" outlineLevel="0" collapsed="false">
      <c r="A88" s="26"/>
      <c r="D88" s="31"/>
    </row>
    <row r="89" customFormat="false" ht="15" hidden="false" customHeight="true" outlineLevel="0" collapsed="false">
      <c r="A89" s="26"/>
      <c r="D89" s="31"/>
    </row>
    <row r="90" customFormat="false" ht="15" hidden="false" customHeight="true" outlineLevel="0" collapsed="false">
      <c r="A90" s="26"/>
      <c r="D90" s="31"/>
    </row>
    <row r="91" customFormat="false" ht="15" hidden="false" customHeight="true" outlineLevel="0" collapsed="false">
      <c r="A91" s="26"/>
      <c r="D91" s="31"/>
    </row>
    <row r="92" customFormat="false" ht="15" hidden="false" customHeight="true" outlineLevel="0" collapsed="false">
      <c r="A92" s="26"/>
      <c r="D92" s="31"/>
    </row>
    <row r="93" customFormat="false" ht="15" hidden="false" customHeight="true" outlineLevel="0" collapsed="false">
      <c r="A93" s="26"/>
      <c r="D93" s="31"/>
    </row>
    <row r="94" customFormat="false" ht="15" hidden="false" customHeight="true" outlineLevel="0" collapsed="false">
      <c r="A94" s="26"/>
      <c r="D94" s="31"/>
    </row>
    <row r="95" customFormat="false" ht="15" hidden="false" customHeight="true" outlineLevel="0" collapsed="false">
      <c r="A95" s="26"/>
      <c r="D95" s="31"/>
    </row>
    <row r="96" customFormat="false" ht="15" hidden="false" customHeight="true" outlineLevel="0" collapsed="false">
      <c r="A96" s="26"/>
      <c r="D96" s="31"/>
    </row>
    <row r="97" customFormat="false" ht="15" hidden="false" customHeight="true" outlineLevel="0" collapsed="false">
      <c r="A97" s="26"/>
      <c r="D97" s="31"/>
    </row>
    <row r="98" customFormat="false" ht="15" hidden="false" customHeight="true" outlineLevel="0" collapsed="false">
      <c r="A98" s="26"/>
      <c r="D98" s="31"/>
    </row>
    <row r="99" customFormat="false" ht="15" hidden="false" customHeight="true" outlineLevel="0" collapsed="false">
      <c r="A99" s="26"/>
      <c r="D99" s="31"/>
    </row>
    <row r="100" customFormat="false" ht="15" hidden="false" customHeight="true" outlineLevel="0" collapsed="false">
      <c r="A100" s="26"/>
      <c r="D100" s="31"/>
    </row>
    <row r="101" customFormat="false" ht="15" hidden="false" customHeight="true" outlineLevel="0" collapsed="false">
      <c r="A101" s="26"/>
      <c r="D101" s="31"/>
    </row>
    <row r="102" customFormat="false" ht="15" hidden="false" customHeight="true" outlineLevel="0" collapsed="false">
      <c r="A102" s="26"/>
      <c r="D102" s="31"/>
    </row>
    <row r="103" customFormat="false" ht="15" hidden="false" customHeight="true" outlineLevel="0" collapsed="false">
      <c r="A103" s="26"/>
      <c r="D103" s="31"/>
    </row>
    <row r="104" customFormat="false" ht="15" hidden="false" customHeight="true" outlineLevel="0" collapsed="false">
      <c r="A104" s="26"/>
      <c r="D104" s="31"/>
    </row>
    <row r="105" customFormat="false" ht="15" hidden="false" customHeight="true" outlineLevel="0" collapsed="false">
      <c r="A105" s="26"/>
      <c r="D105" s="31"/>
    </row>
    <row r="106" customFormat="false" ht="15" hidden="false" customHeight="true" outlineLevel="0" collapsed="false">
      <c r="A106" s="26"/>
      <c r="D106" s="31"/>
    </row>
    <row r="107" customFormat="false" ht="15" hidden="false" customHeight="true" outlineLevel="0" collapsed="false">
      <c r="A107" s="26"/>
      <c r="D107" s="31"/>
    </row>
    <row r="108" customFormat="false" ht="15" hidden="false" customHeight="true" outlineLevel="0" collapsed="false">
      <c r="A108" s="26"/>
      <c r="D108" s="31"/>
    </row>
    <row r="109" customFormat="false" ht="15" hidden="false" customHeight="true" outlineLevel="0" collapsed="false">
      <c r="A109" s="26"/>
      <c r="D109" s="31"/>
    </row>
    <row r="110" customFormat="false" ht="15" hidden="false" customHeight="true" outlineLevel="0" collapsed="false">
      <c r="A110" s="26"/>
      <c r="D110" s="31"/>
    </row>
    <row r="111" customFormat="false" ht="15" hidden="false" customHeight="true" outlineLevel="0" collapsed="false">
      <c r="A111" s="26"/>
      <c r="D111" s="31"/>
    </row>
    <row r="112" customFormat="false" ht="15" hidden="false" customHeight="true" outlineLevel="0" collapsed="false">
      <c r="A112" s="26"/>
      <c r="D112" s="31"/>
    </row>
    <row r="113" customFormat="false" ht="15" hidden="false" customHeight="true" outlineLevel="0" collapsed="false">
      <c r="A113" s="26"/>
      <c r="D113" s="31"/>
    </row>
    <row r="114" customFormat="false" ht="15" hidden="false" customHeight="true" outlineLevel="0" collapsed="false">
      <c r="A114" s="26"/>
      <c r="D114" s="31"/>
    </row>
    <row r="115" customFormat="false" ht="15" hidden="false" customHeight="true" outlineLevel="0" collapsed="false">
      <c r="A115" s="26"/>
      <c r="D115" s="31"/>
    </row>
    <row r="116" customFormat="false" ht="15" hidden="false" customHeight="true" outlineLevel="0" collapsed="false">
      <c r="A116" s="26"/>
      <c r="D116" s="31"/>
    </row>
    <row r="117" customFormat="false" ht="15" hidden="false" customHeight="true" outlineLevel="0" collapsed="false">
      <c r="A117" s="26"/>
      <c r="D117" s="31"/>
    </row>
    <row r="118" customFormat="false" ht="15" hidden="false" customHeight="true" outlineLevel="0" collapsed="false">
      <c r="A118" s="26"/>
      <c r="D118" s="31"/>
    </row>
    <row r="119" customFormat="false" ht="15" hidden="false" customHeight="true" outlineLevel="0" collapsed="false">
      <c r="A119" s="26"/>
      <c r="D119" s="31"/>
    </row>
    <row r="120" customFormat="false" ht="15" hidden="false" customHeight="true" outlineLevel="0" collapsed="false">
      <c r="A120" s="26"/>
      <c r="D120" s="31"/>
    </row>
    <row r="121" customFormat="false" ht="15" hidden="false" customHeight="true" outlineLevel="0" collapsed="false">
      <c r="A121" s="26"/>
      <c r="D121" s="31"/>
    </row>
    <row r="122" customFormat="false" ht="15" hidden="false" customHeight="true" outlineLevel="0" collapsed="false">
      <c r="A122" s="26"/>
      <c r="D122" s="31"/>
    </row>
    <row r="123" customFormat="false" ht="15" hidden="false" customHeight="true" outlineLevel="0" collapsed="false">
      <c r="A123" s="26"/>
      <c r="D123" s="31"/>
    </row>
    <row r="124" customFormat="false" ht="15" hidden="false" customHeight="true" outlineLevel="0" collapsed="false">
      <c r="A124" s="26"/>
      <c r="D124" s="31"/>
    </row>
    <row r="125" customFormat="false" ht="15" hidden="false" customHeight="true" outlineLevel="0" collapsed="false">
      <c r="A125" s="26"/>
      <c r="D125" s="31"/>
    </row>
    <row r="126" customFormat="false" ht="15" hidden="false" customHeight="true" outlineLevel="0" collapsed="false">
      <c r="A126" s="26"/>
      <c r="D126" s="31"/>
    </row>
    <row r="127" customFormat="false" ht="15" hidden="false" customHeight="true" outlineLevel="0" collapsed="false">
      <c r="A127" s="26"/>
      <c r="D127" s="31"/>
    </row>
    <row r="128" customFormat="false" ht="15" hidden="false" customHeight="true" outlineLevel="0" collapsed="false">
      <c r="A128" s="26"/>
      <c r="D128" s="31"/>
    </row>
    <row r="129" customFormat="false" ht="15" hidden="false" customHeight="true" outlineLevel="0" collapsed="false">
      <c r="A129" s="26"/>
      <c r="D129" s="31"/>
    </row>
    <row r="130" customFormat="false" ht="15" hidden="false" customHeight="true" outlineLevel="0" collapsed="false">
      <c r="A130" s="26"/>
      <c r="D130" s="31"/>
    </row>
    <row r="131" customFormat="false" ht="15" hidden="false" customHeight="true" outlineLevel="0" collapsed="false">
      <c r="A131" s="26"/>
      <c r="D131" s="31"/>
    </row>
    <row r="132" customFormat="false" ht="15" hidden="false" customHeight="true" outlineLevel="0" collapsed="false">
      <c r="A132" s="26"/>
      <c r="D132" s="31"/>
    </row>
    <row r="133" customFormat="false" ht="15" hidden="false" customHeight="true" outlineLevel="0" collapsed="false">
      <c r="A133" s="26"/>
      <c r="D133" s="31"/>
    </row>
    <row r="134" customFormat="false" ht="15" hidden="false" customHeight="true" outlineLevel="0" collapsed="false">
      <c r="A134" s="26"/>
      <c r="D134" s="31"/>
    </row>
    <row r="135" customFormat="false" ht="15" hidden="false" customHeight="true" outlineLevel="0" collapsed="false">
      <c r="A135" s="26"/>
      <c r="D135" s="31"/>
    </row>
    <row r="136" customFormat="false" ht="15" hidden="false" customHeight="true" outlineLevel="0" collapsed="false">
      <c r="A136" s="26"/>
      <c r="D136" s="31"/>
    </row>
    <row r="137" customFormat="false" ht="15" hidden="false" customHeight="true" outlineLevel="0" collapsed="false">
      <c r="A137" s="26"/>
      <c r="D137" s="31"/>
    </row>
    <row r="138" customFormat="false" ht="15" hidden="false" customHeight="true" outlineLevel="0" collapsed="false">
      <c r="A138" s="26"/>
      <c r="D138" s="31"/>
    </row>
    <row r="139" customFormat="false" ht="15" hidden="false" customHeight="true" outlineLevel="0" collapsed="false">
      <c r="A139" s="26"/>
      <c r="D139" s="31"/>
    </row>
    <row r="140" customFormat="false" ht="15" hidden="false" customHeight="true" outlineLevel="0" collapsed="false">
      <c r="A140" s="26"/>
      <c r="D140" s="31"/>
    </row>
    <row r="141" customFormat="false" ht="15" hidden="false" customHeight="true" outlineLevel="0" collapsed="false">
      <c r="A141" s="26"/>
      <c r="D141" s="31"/>
    </row>
    <row r="142" customFormat="false" ht="15" hidden="false" customHeight="true" outlineLevel="0" collapsed="false">
      <c r="A142" s="26"/>
      <c r="D142" s="31"/>
    </row>
    <row r="143" customFormat="false" ht="15" hidden="false" customHeight="true" outlineLevel="0" collapsed="false">
      <c r="A143" s="26"/>
      <c r="D143" s="31"/>
    </row>
    <row r="144" customFormat="false" ht="15" hidden="false" customHeight="true" outlineLevel="0" collapsed="false">
      <c r="A144" s="26"/>
      <c r="D144" s="31"/>
    </row>
    <row r="145" customFormat="false" ht="15" hidden="false" customHeight="true" outlineLevel="0" collapsed="false">
      <c r="A145" s="26"/>
      <c r="D145" s="31"/>
    </row>
    <row r="146" customFormat="false" ht="15" hidden="false" customHeight="true" outlineLevel="0" collapsed="false">
      <c r="A146" s="26"/>
      <c r="D146" s="31"/>
    </row>
    <row r="147" customFormat="false" ht="15" hidden="false" customHeight="true" outlineLevel="0" collapsed="false">
      <c r="A147" s="26"/>
      <c r="D147" s="31"/>
    </row>
    <row r="148" customFormat="false" ht="15" hidden="false" customHeight="true" outlineLevel="0" collapsed="false">
      <c r="A148" s="26"/>
      <c r="D148" s="31"/>
    </row>
    <row r="149" customFormat="false" ht="15" hidden="false" customHeight="true" outlineLevel="0" collapsed="false">
      <c r="A149" s="26"/>
      <c r="D149" s="31"/>
    </row>
    <row r="150" customFormat="false" ht="15" hidden="false" customHeight="true" outlineLevel="0" collapsed="false">
      <c r="A150" s="26"/>
      <c r="D150" s="31"/>
    </row>
    <row r="151" customFormat="false" ht="15" hidden="false" customHeight="true" outlineLevel="0" collapsed="false">
      <c r="A151" s="26"/>
      <c r="D151" s="31"/>
    </row>
    <row r="152" customFormat="false" ht="15" hidden="false" customHeight="true" outlineLevel="0" collapsed="false">
      <c r="A152" s="26"/>
      <c r="D152" s="31"/>
    </row>
    <row r="153" customFormat="false" ht="15" hidden="false" customHeight="true" outlineLevel="0" collapsed="false">
      <c r="A153" s="26"/>
      <c r="D153" s="31"/>
    </row>
    <row r="154" customFormat="false" ht="15" hidden="false" customHeight="true" outlineLevel="0" collapsed="false">
      <c r="A154" s="26"/>
      <c r="D154" s="31"/>
    </row>
    <row r="155" customFormat="false" ht="15" hidden="false" customHeight="true" outlineLevel="0" collapsed="false">
      <c r="A155" s="26"/>
      <c r="D155" s="31"/>
    </row>
    <row r="156" customFormat="false" ht="15" hidden="false" customHeight="true" outlineLevel="0" collapsed="false">
      <c r="A156" s="26"/>
      <c r="D156" s="31"/>
    </row>
    <row r="157" customFormat="false" ht="15" hidden="false" customHeight="true" outlineLevel="0" collapsed="false">
      <c r="A157" s="26"/>
      <c r="D157" s="31"/>
    </row>
    <row r="158" customFormat="false" ht="15" hidden="false" customHeight="true" outlineLevel="0" collapsed="false">
      <c r="A158" s="26"/>
      <c r="D158" s="31"/>
    </row>
    <row r="159" customFormat="false" ht="15" hidden="false" customHeight="true" outlineLevel="0" collapsed="false">
      <c r="A159" s="26"/>
      <c r="D159" s="31"/>
    </row>
    <row r="160" customFormat="false" ht="15" hidden="false" customHeight="true" outlineLevel="0" collapsed="false">
      <c r="A160" s="26"/>
      <c r="D160" s="31"/>
    </row>
    <row r="161" customFormat="false" ht="15" hidden="false" customHeight="true" outlineLevel="0" collapsed="false">
      <c r="A161" s="26"/>
      <c r="D161" s="31"/>
    </row>
    <row r="162" customFormat="false" ht="15" hidden="false" customHeight="true" outlineLevel="0" collapsed="false">
      <c r="A162" s="26"/>
      <c r="D162" s="31"/>
    </row>
    <row r="163" customFormat="false" ht="15" hidden="false" customHeight="true" outlineLevel="0" collapsed="false">
      <c r="A163" s="26"/>
      <c r="D163" s="31"/>
    </row>
    <row r="164" customFormat="false" ht="15" hidden="false" customHeight="true" outlineLevel="0" collapsed="false">
      <c r="A164" s="26"/>
      <c r="D164" s="31"/>
    </row>
    <row r="165" customFormat="false" ht="15" hidden="false" customHeight="true" outlineLevel="0" collapsed="false">
      <c r="A165" s="26"/>
      <c r="D165" s="31"/>
    </row>
    <row r="166" customFormat="false" ht="15" hidden="false" customHeight="true" outlineLevel="0" collapsed="false">
      <c r="A166" s="26"/>
      <c r="D166" s="31"/>
    </row>
    <row r="167" customFormat="false" ht="15" hidden="false" customHeight="true" outlineLevel="0" collapsed="false">
      <c r="A167" s="26"/>
      <c r="D167" s="31"/>
    </row>
    <row r="168" customFormat="false" ht="15" hidden="false" customHeight="true" outlineLevel="0" collapsed="false">
      <c r="A168" s="26"/>
      <c r="D168" s="31"/>
    </row>
    <row r="169" customFormat="false" ht="15" hidden="false" customHeight="true" outlineLevel="0" collapsed="false">
      <c r="A169" s="26"/>
      <c r="D169" s="31"/>
    </row>
    <row r="170" customFormat="false" ht="15" hidden="false" customHeight="true" outlineLevel="0" collapsed="false">
      <c r="A170" s="26"/>
      <c r="D170" s="31"/>
    </row>
    <row r="171" customFormat="false" ht="15" hidden="false" customHeight="true" outlineLevel="0" collapsed="false">
      <c r="A171" s="26"/>
      <c r="D171" s="31"/>
    </row>
    <row r="172" customFormat="false" ht="15" hidden="false" customHeight="true" outlineLevel="0" collapsed="false">
      <c r="A172" s="26"/>
      <c r="D172" s="31"/>
    </row>
    <row r="173" customFormat="false" ht="15" hidden="false" customHeight="true" outlineLevel="0" collapsed="false">
      <c r="A173" s="26"/>
      <c r="D173" s="31"/>
    </row>
    <row r="174" customFormat="false" ht="15" hidden="false" customHeight="true" outlineLevel="0" collapsed="false">
      <c r="A174" s="26"/>
      <c r="D174" s="31"/>
    </row>
    <row r="175" customFormat="false" ht="15" hidden="false" customHeight="true" outlineLevel="0" collapsed="false">
      <c r="A175" s="26"/>
      <c r="D175" s="31"/>
    </row>
    <row r="176" customFormat="false" ht="15" hidden="false" customHeight="true" outlineLevel="0" collapsed="false">
      <c r="A176" s="26"/>
      <c r="D176" s="31"/>
    </row>
    <row r="177" customFormat="false" ht="15" hidden="false" customHeight="true" outlineLevel="0" collapsed="false">
      <c r="A177" s="26"/>
      <c r="D177" s="31"/>
    </row>
    <row r="178" customFormat="false" ht="15" hidden="false" customHeight="true" outlineLevel="0" collapsed="false">
      <c r="A178" s="26"/>
      <c r="D178" s="31"/>
    </row>
    <row r="179" customFormat="false" ht="15" hidden="false" customHeight="true" outlineLevel="0" collapsed="false">
      <c r="A179" s="26"/>
      <c r="D179" s="31"/>
    </row>
    <row r="180" customFormat="false" ht="15" hidden="false" customHeight="true" outlineLevel="0" collapsed="false">
      <c r="A180" s="26"/>
      <c r="D180" s="31"/>
    </row>
    <row r="181" customFormat="false" ht="15" hidden="false" customHeight="true" outlineLevel="0" collapsed="false">
      <c r="A181" s="26"/>
      <c r="D181" s="31"/>
    </row>
    <row r="182" customFormat="false" ht="15" hidden="false" customHeight="true" outlineLevel="0" collapsed="false">
      <c r="A182" s="26"/>
      <c r="D182" s="31"/>
    </row>
    <row r="183" customFormat="false" ht="15" hidden="false" customHeight="true" outlineLevel="0" collapsed="false">
      <c r="A183" s="26"/>
      <c r="D183" s="31"/>
    </row>
    <row r="184" customFormat="false" ht="15" hidden="false" customHeight="true" outlineLevel="0" collapsed="false">
      <c r="A184" s="26"/>
      <c r="D184" s="31"/>
    </row>
    <row r="185" customFormat="false" ht="15" hidden="false" customHeight="true" outlineLevel="0" collapsed="false">
      <c r="A185" s="26"/>
      <c r="D185" s="31"/>
    </row>
    <row r="186" customFormat="false" ht="15" hidden="false" customHeight="true" outlineLevel="0" collapsed="false">
      <c r="A186" s="26"/>
      <c r="D186" s="31"/>
    </row>
    <row r="187" customFormat="false" ht="15" hidden="false" customHeight="true" outlineLevel="0" collapsed="false">
      <c r="A187" s="26"/>
      <c r="D187" s="31"/>
    </row>
    <row r="188" customFormat="false" ht="15" hidden="false" customHeight="true" outlineLevel="0" collapsed="false">
      <c r="A188" s="26"/>
      <c r="D188" s="31"/>
    </row>
    <row r="189" customFormat="false" ht="15" hidden="false" customHeight="true" outlineLevel="0" collapsed="false">
      <c r="A189" s="26"/>
      <c r="D189" s="31"/>
    </row>
    <row r="190" customFormat="false" ht="15" hidden="false" customHeight="true" outlineLevel="0" collapsed="false">
      <c r="A190" s="26"/>
      <c r="D190" s="31"/>
    </row>
    <row r="191" customFormat="false" ht="15" hidden="false" customHeight="true" outlineLevel="0" collapsed="false">
      <c r="A191" s="26"/>
      <c r="D191" s="31"/>
    </row>
    <row r="192" customFormat="false" ht="15" hidden="false" customHeight="true" outlineLevel="0" collapsed="false">
      <c r="A192" s="26"/>
      <c r="D192" s="31"/>
    </row>
    <row r="193" customFormat="false" ht="15" hidden="false" customHeight="true" outlineLevel="0" collapsed="false">
      <c r="A193" s="26"/>
      <c r="D193" s="31"/>
    </row>
    <row r="194" customFormat="false" ht="15" hidden="false" customHeight="true" outlineLevel="0" collapsed="false">
      <c r="A194" s="26"/>
      <c r="D194" s="31"/>
    </row>
    <row r="195" customFormat="false" ht="15" hidden="false" customHeight="true" outlineLevel="0" collapsed="false">
      <c r="A195" s="26"/>
      <c r="D195" s="31"/>
    </row>
    <row r="196" customFormat="false" ht="15" hidden="false" customHeight="true" outlineLevel="0" collapsed="false">
      <c r="A196" s="26"/>
      <c r="D196" s="31"/>
    </row>
    <row r="197" customFormat="false" ht="15" hidden="false" customHeight="true" outlineLevel="0" collapsed="false">
      <c r="A197" s="26"/>
      <c r="D197" s="31"/>
    </row>
    <row r="198" customFormat="false" ht="15" hidden="false" customHeight="true" outlineLevel="0" collapsed="false">
      <c r="A198" s="26"/>
      <c r="D198" s="31"/>
    </row>
    <row r="199" customFormat="false" ht="15" hidden="false" customHeight="true" outlineLevel="0" collapsed="false">
      <c r="A199" s="26"/>
      <c r="D199" s="31"/>
    </row>
    <row r="200" customFormat="false" ht="15" hidden="false" customHeight="true" outlineLevel="0" collapsed="false">
      <c r="A200" s="26"/>
      <c r="D200" s="31"/>
    </row>
    <row r="201" customFormat="false" ht="15" hidden="false" customHeight="true" outlineLevel="0" collapsed="false">
      <c r="A201" s="26"/>
      <c r="D201" s="31"/>
    </row>
    <row r="202" customFormat="false" ht="15" hidden="false" customHeight="true" outlineLevel="0" collapsed="false">
      <c r="A202" s="26"/>
      <c r="D202" s="31"/>
    </row>
    <row r="203" customFormat="false" ht="15" hidden="false" customHeight="true" outlineLevel="0" collapsed="false">
      <c r="A203" s="26"/>
      <c r="D203" s="31"/>
    </row>
    <row r="204" customFormat="false" ht="15" hidden="false" customHeight="true" outlineLevel="0" collapsed="false">
      <c r="A204" s="26"/>
      <c r="D204" s="31"/>
    </row>
    <row r="205" customFormat="false" ht="15" hidden="false" customHeight="true" outlineLevel="0" collapsed="false">
      <c r="A205" s="26"/>
      <c r="D205" s="31"/>
    </row>
    <row r="206" customFormat="false" ht="15" hidden="false" customHeight="true" outlineLevel="0" collapsed="false">
      <c r="A206" s="26"/>
      <c r="D206" s="31"/>
    </row>
    <row r="207" customFormat="false" ht="15" hidden="false" customHeight="true" outlineLevel="0" collapsed="false">
      <c r="A207" s="26"/>
      <c r="D207" s="31"/>
    </row>
    <row r="208" customFormat="false" ht="15" hidden="false" customHeight="true" outlineLevel="0" collapsed="false">
      <c r="A208" s="26"/>
      <c r="D208" s="31"/>
    </row>
    <row r="209" customFormat="false" ht="15" hidden="false" customHeight="true" outlineLevel="0" collapsed="false">
      <c r="A209" s="26"/>
      <c r="D209" s="31"/>
    </row>
    <row r="210" customFormat="false" ht="15" hidden="false" customHeight="true" outlineLevel="0" collapsed="false">
      <c r="A210" s="26"/>
      <c r="D210" s="31"/>
    </row>
    <row r="211" customFormat="false" ht="15" hidden="false" customHeight="true" outlineLevel="0" collapsed="false">
      <c r="A211" s="26"/>
      <c r="D211" s="31"/>
    </row>
    <row r="212" customFormat="false" ht="15" hidden="false" customHeight="true" outlineLevel="0" collapsed="false">
      <c r="A212" s="26"/>
      <c r="D212" s="31"/>
    </row>
    <row r="213" customFormat="false" ht="15" hidden="false" customHeight="true" outlineLevel="0" collapsed="false">
      <c r="A213" s="26"/>
      <c r="D213" s="31"/>
    </row>
    <row r="214" customFormat="false" ht="15" hidden="false" customHeight="true" outlineLevel="0" collapsed="false">
      <c r="A214" s="26"/>
      <c r="D214" s="31"/>
    </row>
    <row r="215" customFormat="false" ht="15" hidden="false" customHeight="true" outlineLevel="0" collapsed="false">
      <c r="A215" s="26"/>
      <c r="D215" s="31"/>
    </row>
    <row r="216" customFormat="false" ht="15" hidden="false" customHeight="true" outlineLevel="0" collapsed="false">
      <c r="A216" s="26"/>
      <c r="D216" s="31"/>
    </row>
    <row r="217" customFormat="false" ht="15" hidden="false" customHeight="true" outlineLevel="0" collapsed="false">
      <c r="A217" s="26"/>
      <c r="D217" s="31"/>
    </row>
    <row r="218" customFormat="false" ht="15" hidden="false" customHeight="true" outlineLevel="0" collapsed="false">
      <c r="A218" s="26"/>
      <c r="D218" s="31"/>
    </row>
    <row r="219" customFormat="false" ht="15" hidden="false" customHeight="true" outlineLevel="0" collapsed="false">
      <c r="A219" s="26"/>
      <c r="D219" s="31"/>
    </row>
    <row r="220" customFormat="false" ht="15" hidden="false" customHeight="true" outlineLevel="0" collapsed="false">
      <c r="A220" s="26"/>
      <c r="D220" s="31"/>
    </row>
    <row r="221" customFormat="false" ht="15" hidden="false" customHeight="true" outlineLevel="0" collapsed="false">
      <c r="A221" s="26"/>
      <c r="D221" s="31"/>
    </row>
    <row r="222" customFormat="false" ht="15" hidden="false" customHeight="true" outlineLevel="0" collapsed="false">
      <c r="A222" s="26"/>
      <c r="D222" s="31"/>
    </row>
    <row r="223" customFormat="false" ht="15" hidden="false" customHeight="true" outlineLevel="0" collapsed="false">
      <c r="A223" s="26"/>
      <c r="D223" s="31"/>
    </row>
    <row r="224" customFormat="false" ht="15" hidden="false" customHeight="true" outlineLevel="0" collapsed="false">
      <c r="A224" s="26"/>
      <c r="D224" s="31"/>
    </row>
    <row r="225" customFormat="false" ht="15" hidden="false" customHeight="true" outlineLevel="0" collapsed="false">
      <c r="A225" s="26"/>
      <c r="D225" s="31"/>
    </row>
    <row r="226" customFormat="false" ht="15" hidden="false" customHeight="true" outlineLevel="0" collapsed="false">
      <c r="A226" s="26"/>
      <c r="D226" s="31"/>
    </row>
    <row r="227" customFormat="false" ht="15" hidden="false" customHeight="true" outlineLevel="0" collapsed="false">
      <c r="A227" s="26"/>
      <c r="D227" s="31"/>
    </row>
    <row r="228" customFormat="false" ht="15" hidden="false" customHeight="true" outlineLevel="0" collapsed="false">
      <c r="A228" s="26"/>
      <c r="D228" s="31"/>
    </row>
    <row r="229" customFormat="false" ht="15" hidden="false" customHeight="true" outlineLevel="0" collapsed="false">
      <c r="A229" s="26"/>
      <c r="D229" s="31"/>
    </row>
    <row r="230" customFormat="false" ht="15" hidden="false" customHeight="true" outlineLevel="0" collapsed="false">
      <c r="A230" s="26"/>
      <c r="D230" s="31"/>
    </row>
    <row r="231" customFormat="false" ht="15" hidden="false" customHeight="true" outlineLevel="0" collapsed="false">
      <c r="A231" s="26"/>
      <c r="D231" s="31"/>
    </row>
    <row r="232" customFormat="false" ht="15" hidden="false" customHeight="true" outlineLevel="0" collapsed="false">
      <c r="A232" s="26"/>
      <c r="D232" s="31"/>
    </row>
    <row r="233" customFormat="false" ht="15" hidden="false" customHeight="true" outlineLevel="0" collapsed="false">
      <c r="A233" s="26"/>
      <c r="D233" s="31"/>
    </row>
    <row r="234" customFormat="false" ht="15" hidden="false" customHeight="true" outlineLevel="0" collapsed="false">
      <c r="A234" s="26"/>
      <c r="D234" s="31"/>
    </row>
    <row r="235" customFormat="false" ht="15" hidden="false" customHeight="true" outlineLevel="0" collapsed="false">
      <c r="A235" s="26"/>
      <c r="D235" s="31"/>
    </row>
    <row r="236" customFormat="false" ht="15" hidden="false" customHeight="true" outlineLevel="0" collapsed="false">
      <c r="A236" s="26"/>
      <c r="D236" s="31"/>
    </row>
    <row r="237" customFormat="false" ht="15" hidden="false" customHeight="true" outlineLevel="0" collapsed="false">
      <c r="A237" s="26"/>
      <c r="D237" s="31"/>
    </row>
    <row r="238" customFormat="false" ht="15" hidden="false" customHeight="true" outlineLevel="0" collapsed="false">
      <c r="A238" s="26"/>
      <c r="D238" s="31"/>
    </row>
    <row r="239" customFormat="false" ht="15" hidden="false" customHeight="true" outlineLevel="0" collapsed="false">
      <c r="A239" s="26"/>
      <c r="D239" s="31"/>
    </row>
    <row r="240" customFormat="false" ht="15" hidden="false" customHeight="true" outlineLevel="0" collapsed="false">
      <c r="A240" s="26"/>
      <c r="D240" s="31"/>
    </row>
    <row r="241" customFormat="false" ht="15" hidden="false" customHeight="true" outlineLevel="0" collapsed="false">
      <c r="A241" s="26"/>
      <c r="D241" s="31"/>
    </row>
    <row r="242" customFormat="false" ht="15" hidden="false" customHeight="true" outlineLevel="0" collapsed="false">
      <c r="A242" s="26"/>
      <c r="D242" s="31"/>
    </row>
    <row r="243" customFormat="false" ht="15" hidden="false" customHeight="true" outlineLevel="0" collapsed="false">
      <c r="A243" s="26"/>
      <c r="D243" s="31"/>
    </row>
    <row r="244" customFormat="false" ht="15" hidden="false" customHeight="true" outlineLevel="0" collapsed="false">
      <c r="A244" s="26"/>
      <c r="D244" s="31"/>
    </row>
    <row r="245" customFormat="false" ht="15" hidden="false" customHeight="true" outlineLevel="0" collapsed="false">
      <c r="A245" s="26"/>
      <c r="D245" s="31"/>
    </row>
    <row r="246" customFormat="false" ht="15" hidden="false" customHeight="true" outlineLevel="0" collapsed="false">
      <c r="A246" s="26"/>
      <c r="D246" s="31"/>
    </row>
    <row r="247" customFormat="false" ht="15" hidden="false" customHeight="true" outlineLevel="0" collapsed="false">
      <c r="A247" s="26"/>
      <c r="D247" s="31"/>
    </row>
    <row r="248" customFormat="false" ht="15" hidden="false" customHeight="true" outlineLevel="0" collapsed="false">
      <c r="A248" s="26"/>
      <c r="D248" s="31"/>
    </row>
    <row r="249" customFormat="false" ht="15" hidden="false" customHeight="true" outlineLevel="0" collapsed="false">
      <c r="A249" s="26"/>
      <c r="D249" s="31"/>
    </row>
    <row r="250" customFormat="false" ht="15" hidden="false" customHeight="true" outlineLevel="0" collapsed="false">
      <c r="A250" s="26"/>
      <c r="D250" s="31"/>
    </row>
    <row r="251" customFormat="false" ht="15" hidden="false" customHeight="true" outlineLevel="0" collapsed="false">
      <c r="A251" s="26"/>
      <c r="D251" s="31"/>
    </row>
    <row r="252" customFormat="false" ht="15" hidden="false" customHeight="true" outlineLevel="0" collapsed="false">
      <c r="A252" s="26"/>
      <c r="D252" s="31"/>
    </row>
    <row r="253" customFormat="false" ht="15" hidden="false" customHeight="true" outlineLevel="0" collapsed="false">
      <c r="A253" s="26"/>
      <c r="D253" s="31"/>
    </row>
    <row r="254" customFormat="false" ht="15" hidden="false" customHeight="true" outlineLevel="0" collapsed="false">
      <c r="A254" s="26"/>
      <c r="D254" s="31"/>
    </row>
    <row r="255" customFormat="false" ht="15" hidden="false" customHeight="true" outlineLevel="0" collapsed="false">
      <c r="A255" s="26"/>
      <c r="D255" s="31"/>
    </row>
    <row r="256" customFormat="false" ht="15" hidden="false" customHeight="true" outlineLevel="0" collapsed="false">
      <c r="A256" s="26"/>
      <c r="D256" s="31"/>
    </row>
    <row r="257" customFormat="false" ht="15" hidden="false" customHeight="true" outlineLevel="0" collapsed="false">
      <c r="A257" s="26"/>
      <c r="D257" s="31"/>
    </row>
    <row r="258" customFormat="false" ht="15" hidden="false" customHeight="true" outlineLevel="0" collapsed="false">
      <c r="A258" s="26"/>
      <c r="D258" s="31"/>
    </row>
    <row r="259" customFormat="false" ht="15" hidden="false" customHeight="true" outlineLevel="0" collapsed="false">
      <c r="A259" s="26"/>
      <c r="D259" s="31"/>
    </row>
    <row r="260" customFormat="false" ht="15" hidden="false" customHeight="true" outlineLevel="0" collapsed="false">
      <c r="A260" s="26"/>
      <c r="D260" s="31"/>
    </row>
    <row r="261" customFormat="false" ht="15" hidden="false" customHeight="true" outlineLevel="0" collapsed="false">
      <c r="A261" s="26"/>
      <c r="D261" s="31"/>
    </row>
    <row r="262" customFormat="false" ht="15" hidden="false" customHeight="true" outlineLevel="0" collapsed="false">
      <c r="A262" s="26"/>
      <c r="D262" s="31"/>
    </row>
    <row r="263" customFormat="false" ht="15" hidden="false" customHeight="true" outlineLevel="0" collapsed="false">
      <c r="A263" s="26"/>
      <c r="D263" s="31"/>
    </row>
    <row r="264" customFormat="false" ht="15" hidden="false" customHeight="true" outlineLevel="0" collapsed="false">
      <c r="A264" s="26"/>
      <c r="D264" s="31"/>
    </row>
    <row r="265" customFormat="false" ht="15" hidden="false" customHeight="true" outlineLevel="0" collapsed="false">
      <c r="A265" s="26"/>
      <c r="D265" s="31"/>
    </row>
    <row r="266" customFormat="false" ht="15" hidden="false" customHeight="true" outlineLevel="0" collapsed="false">
      <c r="A266" s="26"/>
      <c r="D266" s="31"/>
    </row>
    <row r="267" customFormat="false" ht="15" hidden="false" customHeight="true" outlineLevel="0" collapsed="false">
      <c r="A267" s="26"/>
      <c r="D267" s="31"/>
    </row>
    <row r="268" customFormat="false" ht="15" hidden="false" customHeight="true" outlineLevel="0" collapsed="false">
      <c r="A268" s="26"/>
      <c r="D268" s="31"/>
    </row>
    <row r="269" customFormat="false" ht="15" hidden="false" customHeight="true" outlineLevel="0" collapsed="false">
      <c r="A269" s="26"/>
      <c r="D269" s="31"/>
    </row>
    <row r="270" customFormat="false" ht="15" hidden="false" customHeight="true" outlineLevel="0" collapsed="false">
      <c r="A270" s="26"/>
      <c r="D270" s="31"/>
    </row>
    <row r="271" customFormat="false" ht="15" hidden="false" customHeight="true" outlineLevel="0" collapsed="false">
      <c r="A271" s="26"/>
      <c r="D271" s="31"/>
    </row>
    <row r="272" customFormat="false" ht="15" hidden="false" customHeight="true" outlineLevel="0" collapsed="false">
      <c r="A272" s="26"/>
      <c r="D272" s="31"/>
    </row>
    <row r="273" customFormat="false" ht="15" hidden="false" customHeight="true" outlineLevel="0" collapsed="false">
      <c r="A273" s="26"/>
      <c r="D273" s="31"/>
    </row>
    <row r="274" customFormat="false" ht="15" hidden="false" customHeight="true" outlineLevel="0" collapsed="false">
      <c r="A274" s="26"/>
      <c r="D274" s="31"/>
    </row>
    <row r="275" customFormat="false" ht="15" hidden="false" customHeight="true" outlineLevel="0" collapsed="false">
      <c r="A275" s="26"/>
      <c r="D275" s="31"/>
    </row>
    <row r="276" customFormat="false" ht="15" hidden="false" customHeight="true" outlineLevel="0" collapsed="false">
      <c r="A276" s="26"/>
      <c r="D276" s="31"/>
    </row>
    <row r="277" customFormat="false" ht="15" hidden="false" customHeight="true" outlineLevel="0" collapsed="false">
      <c r="A277" s="26"/>
      <c r="D277" s="31"/>
    </row>
    <row r="278" customFormat="false" ht="15" hidden="false" customHeight="true" outlineLevel="0" collapsed="false">
      <c r="A278" s="26"/>
      <c r="D278" s="31"/>
    </row>
    <row r="279" customFormat="false" ht="15" hidden="false" customHeight="true" outlineLevel="0" collapsed="false">
      <c r="A279" s="26"/>
      <c r="D279" s="31"/>
    </row>
    <row r="280" customFormat="false" ht="15" hidden="false" customHeight="true" outlineLevel="0" collapsed="false">
      <c r="A280" s="26"/>
      <c r="D280" s="31"/>
    </row>
    <row r="281" customFormat="false" ht="15" hidden="false" customHeight="true" outlineLevel="0" collapsed="false">
      <c r="A281" s="26"/>
      <c r="D281" s="31"/>
    </row>
    <row r="282" customFormat="false" ht="15" hidden="false" customHeight="true" outlineLevel="0" collapsed="false">
      <c r="A282" s="26"/>
      <c r="D282" s="31"/>
    </row>
    <row r="283" customFormat="false" ht="15" hidden="false" customHeight="true" outlineLevel="0" collapsed="false">
      <c r="A283" s="26"/>
      <c r="D283" s="31"/>
    </row>
    <row r="284" customFormat="false" ht="15" hidden="false" customHeight="true" outlineLevel="0" collapsed="false">
      <c r="A284" s="26"/>
      <c r="D284" s="31"/>
    </row>
    <row r="285" customFormat="false" ht="15" hidden="false" customHeight="true" outlineLevel="0" collapsed="false">
      <c r="A285" s="26"/>
      <c r="D285" s="31"/>
    </row>
    <row r="286" customFormat="false" ht="15" hidden="false" customHeight="true" outlineLevel="0" collapsed="false">
      <c r="A286" s="26"/>
      <c r="D286" s="31"/>
    </row>
    <row r="287" customFormat="false" ht="15" hidden="false" customHeight="true" outlineLevel="0" collapsed="false">
      <c r="A287" s="26"/>
      <c r="D287" s="31"/>
    </row>
    <row r="288" customFormat="false" ht="15" hidden="false" customHeight="true" outlineLevel="0" collapsed="false">
      <c r="A288" s="26"/>
      <c r="D288" s="31"/>
    </row>
    <row r="289" customFormat="false" ht="15" hidden="false" customHeight="true" outlineLevel="0" collapsed="false">
      <c r="A289" s="26"/>
      <c r="D289" s="31"/>
    </row>
    <row r="290" customFormat="false" ht="15" hidden="false" customHeight="true" outlineLevel="0" collapsed="false">
      <c r="A290" s="26"/>
      <c r="D290" s="31"/>
    </row>
    <row r="291" customFormat="false" ht="15" hidden="false" customHeight="true" outlineLevel="0" collapsed="false">
      <c r="A291" s="26"/>
      <c r="D291" s="31"/>
    </row>
    <row r="292" customFormat="false" ht="15" hidden="false" customHeight="true" outlineLevel="0" collapsed="false">
      <c r="A292" s="26"/>
      <c r="D292" s="31"/>
    </row>
    <row r="293" customFormat="false" ht="15" hidden="false" customHeight="true" outlineLevel="0" collapsed="false">
      <c r="A293" s="26"/>
      <c r="D293" s="31"/>
    </row>
    <row r="294" customFormat="false" ht="15" hidden="false" customHeight="true" outlineLevel="0" collapsed="false">
      <c r="A294" s="26"/>
      <c r="D294" s="31"/>
    </row>
    <row r="295" customFormat="false" ht="15" hidden="false" customHeight="true" outlineLevel="0" collapsed="false">
      <c r="A295" s="26"/>
      <c r="D295" s="31"/>
    </row>
    <row r="296" customFormat="false" ht="15" hidden="false" customHeight="true" outlineLevel="0" collapsed="false">
      <c r="A296" s="26"/>
      <c r="D296" s="31"/>
    </row>
    <row r="297" customFormat="false" ht="15" hidden="false" customHeight="true" outlineLevel="0" collapsed="false">
      <c r="A297" s="26"/>
      <c r="D297" s="31"/>
    </row>
    <row r="298" customFormat="false" ht="15" hidden="false" customHeight="true" outlineLevel="0" collapsed="false">
      <c r="A298" s="26"/>
      <c r="D298" s="31"/>
    </row>
    <row r="299" customFormat="false" ht="15" hidden="false" customHeight="true" outlineLevel="0" collapsed="false">
      <c r="A299" s="26"/>
      <c r="D299" s="31"/>
    </row>
    <row r="300" customFormat="false" ht="15" hidden="false" customHeight="true" outlineLevel="0" collapsed="false">
      <c r="A300" s="26"/>
      <c r="D300" s="31"/>
    </row>
    <row r="301" customFormat="false" ht="15" hidden="false" customHeight="true" outlineLevel="0" collapsed="false">
      <c r="A301" s="26"/>
      <c r="D301" s="31"/>
    </row>
    <row r="302" customFormat="false" ht="15" hidden="false" customHeight="true" outlineLevel="0" collapsed="false">
      <c r="A302" s="26"/>
      <c r="D302" s="31"/>
    </row>
    <row r="303" customFormat="false" ht="15" hidden="false" customHeight="true" outlineLevel="0" collapsed="false">
      <c r="A303" s="26"/>
      <c r="D303" s="31"/>
    </row>
    <row r="304" customFormat="false" ht="15" hidden="false" customHeight="true" outlineLevel="0" collapsed="false">
      <c r="A304" s="26"/>
      <c r="D304" s="31"/>
    </row>
    <row r="305" customFormat="false" ht="15" hidden="false" customHeight="true" outlineLevel="0" collapsed="false">
      <c r="A305" s="26"/>
      <c r="D305" s="31"/>
    </row>
    <row r="306" customFormat="false" ht="15" hidden="false" customHeight="true" outlineLevel="0" collapsed="false">
      <c r="A306" s="26"/>
      <c r="D306" s="31"/>
    </row>
    <row r="307" customFormat="false" ht="15" hidden="false" customHeight="true" outlineLevel="0" collapsed="false">
      <c r="A307" s="26"/>
      <c r="D307" s="31"/>
    </row>
    <row r="308" customFormat="false" ht="15" hidden="false" customHeight="true" outlineLevel="0" collapsed="false">
      <c r="A308" s="26"/>
      <c r="D308" s="31"/>
    </row>
    <row r="309" customFormat="false" ht="15" hidden="false" customHeight="true" outlineLevel="0" collapsed="false">
      <c r="A309" s="26"/>
      <c r="D309" s="31"/>
    </row>
    <row r="310" customFormat="false" ht="15" hidden="false" customHeight="true" outlineLevel="0" collapsed="false">
      <c r="A310" s="26"/>
      <c r="D310" s="31"/>
    </row>
    <row r="311" customFormat="false" ht="15" hidden="false" customHeight="true" outlineLevel="0" collapsed="false">
      <c r="A311" s="26"/>
      <c r="D311" s="31"/>
    </row>
    <row r="312" customFormat="false" ht="15" hidden="false" customHeight="true" outlineLevel="0" collapsed="false">
      <c r="A312" s="26"/>
      <c r="D312" s="31"/>
    </row>
    <row r="313" customFormat="false" ht="15" hidden="false" customHeight="true" outlineLevel="0" collapsed="false">
      <c r="A313" s="26"/>
      <c r="D313" s="31"/>
    </row>
    <row r="314" customFormat="false" ht="15" hidden="false" customHeight="true" outlineLevel="0" collapsed="false">
      <c r="A314" s="26"/>
      <c r="D314" s="31"/>
    </row>
    <row r="315" customFormat="false" ht="15" hidden="false" customHeight="true" outlineLevel="0" collapsed="false">
      <c r="A315" s="26"/>
      <c r="D315" s="31"/>
    </row>
    <row r="316" customFormat="false" ht="15" hidden="false" customHeight="true" outlineLevel="0" collapsed="false">
      <c r="A316" s="26"/>
      <c r="D316" s="31"/>
    </row>
    <row r="317" customFormat="false" ht="15" hidden="false" customHeight="true" outlineLevel="0" collapsed="false">
      <c r="A317" s="26"/>
      <c r="D317" s="31"/>
    </row>
    <row r="318" customFormat="false" ht="15" hidden="false" customHeight="true" outlineLevel="0" collapsed="false">
      <c r="A318" s="26"/>
      <c r="D318" s="31"/>
    </row>
    <row r="319" customFormat="false" ht="15" hidden="false" customHeight="true" outlineLevel="0" collapsed="false">
      <c r="A319" s="26"/>
      <c r="D319" s="31"/>
    </row>
    <row r="320" customFormat="false" ht="15" hidden="false" customHeight="true" outlineLevel="0" collapsed="false">
      <c r="A320" s="26"/>
      <c r="D320" s="31"/>
    </row>
    <row r="321" customFormat="false" ht="15" hidden="false" customHeight="true" outlineLevel="0" collapsed="false">
      <c r="A321" s="26"/>
      <c r="D321" s="31"/>
    </row>
    <row r="322" customFormat="false" ht="15" hidden="false" customHeight="true" outlineLevel="0" collapsed="false">
      <c r="A322" s="26"/>
      <c r="D322" s="31"/>
    </row>
    <row r="323" customFormat="false" ht="15" hidden="false" customHeight="true" outlineLevel="0" collapsed="false">
      <c r="A323" s="26"/>
      <c r="D323" s="31"/>
    </row>
    <row r="324" customFormat="false" ht="15" hidden="false" customHeight="true" outlineLevel="0" collapsed="false">
      <c r="A324" s="26"/>
      <c r="D324" s="31"/>
    </row>
    <row r="325" customFormat="false" ht="15" hidden="false" customHeight="true" outlineLevel="0" collapsed="false">
      <c r="A325" s="26"/>
      <c r="D325" s="31"/>
    </row>
    <row r="326" customFormat="false" ht="15" hidden="false" customHeight="true" outlineLevel="0" collapsed="false">
      <c r="A326" s="26"/>
      <c r="D326" s="31"/>
    </row>
    <row r="327" customFormat="false" ht="15" hidden="false" customHeight="true" outlineLevel="0" collapsed="false">
      <c r="A327" s="26"/>
      <c r="D327" s="31"/>
    </row>
    <row r="328" customFormat="false" ht="15" hidden="false" customHeight="true" outlineLevel="0" collapsed="false">
      <c r="A328" s="26"/>
      <c r="D328" s="31"/>
    </row>
    <row r="329" customFormat="false" ht="15" hidden="false" customHeight="true" outlineLevel="0" collapsed="false">
      <c r="A329" s="26"/>
      <c r="D329" s="31"/>
    </row>
    <row r="330" customFormat="false" ht="15" hidden="false" customHeight="true" outlineLevel="0" collapsed="false">
      <c r="A330" s="26"/>
      <c r="D330" s="31"/>
    </row>
    <row r="331" customFormat="false" ht="15" hidden="false" customHeight="true" outlineLevel="0" collapsed="false">
      <c r="A331" s="26"/>
      <c r="D331" s="31"/>
    </row>
    <row r="332" customFormat="false" ht="15" hidden="false" customHeight="true" outlineLevel="0" collapsed="false">
      <c r="A332" s="26"/>
      <c r="D332" s="31"/>
    </row>
    <row r="333" customFormat="false" ht="15" hidden="false" customHeight="true" outlineLevel="0" collapsed="false">
      <c r="A333" s="26"/>
      <c r="D333" s="31"/>
    </row>
    <row r="334" customFormat="false" ht="15" hidden="false" customHeight="true" outlineLevel="0" collapsed="false">
      <c r="A334" s="26"/>
      <c r="D334" s="31"/>
    </row>
    <row r="335" customFormat="false" ht="15" hidden="false" customHeight="true" outlineLevel="0" collapsed="false">
      <c r="A335" s="26"/>
      <c r="D335" s="31"/>
    </row>
    <row r="336" customFormat="false" ht="15" hidden="false" customHeight="true" outlineLevel="0" collapsed="false">
      <c r="A336" s="26"/>
      <c r="D336" s="31"/>
    </row>
    <row r="337" customFormat="false" ht="15" hidden="false" customHeight="true" outlineLevel="0" collapsed="false">
      <c r="A337" s="26"/>
      <c r="D337" s="31"/>
    </row>
    <row r="338" customFormat="false" ht="15" hidden="false" customHeight="true" outlineLevel="0" collapsed="false">
      <c r="A338" s="26"/>
      <c r="D338" s="31"/>
    </row>
    <row r="339" customFormat="false" ht="15" hidden="false" customHeight="true" outlineLevel="0" collapsed="false">
      <c r="A339" s="26"/>
      <c r="D339" s="31"/>
    </row>
    <row r="340" customFormat="false" ht="15" hidden="false" customHeight="true" outlineLevel="0" collapsed="false">
      <c r="A340" s="26"/>
      <c r="D340" s="31"/>
    </row>
    <row r="341" customFormat="false" ht="15" hidden="false" customHeight="true" outlineLevel="0" collapsed="false">
      <c r="A341" s="26"/>
      <c r="D341" s="31"/>
    </row>
    <row r="342" customFormat="false" ht="15" hidden="false" customHeight="true" outlineLevel="0" collapsed="false">
      <c r="A342" s="26"/>
      <c r="D342" s="31"/>
    </row>
    <row r="343" customFormat="false" ht="15" hidden="false" customHeight="true" outlineLevel="0" collapsed="false">
      <c r="A343" s="26"/>
      <c r="D343" s="31"/>
    </row>
    <row r="344" customFormat="false" ht="15" hidden="false" customHeight="true" outlineLevel="0" collapsed="false">
      <c r="A344" s="26"/>
      <c r="D344" s="31"/>
    </row>
    <row r="345" customFormat="false" ht="15" hidden="false" customHeight="true" outlineLevel="0" collapsed="false">
      <c r="A345" s="26"/>
      <c r="D345" s="31"/>
    </row>
    <row r="346" customFormat="false" ht="15" hidden="false" customHeight="true" outlineLevel="0" collapsed="false">
      <c r="A346" s="26"/>
      <c r="D346" s="31"/>
    </row>
    <row r="347" customFormat="false" ht="15" hidden="false" customHeight="true" outlineLevel="0" collapsed="false">
      <c r="A347" s="26"/>
      <c r="D347" s="31"/>
    </row>
    <row r="348" customFormat="false" ht="15" hidden="false" customHeight="true" outlineLevel="0" collapsed="false">
      <c r="A348" s="26"/>
      <c r="D348" s="31"/>
    </row>
    <row r="349" customFormat="false" ht="15" hidden="false" customHeight="true" outlineLevel="0" collapsed="false">
      <c r="A349" s="26"/>
      <c r="D349" s="31"/>
    </row>
    <row r="350" customFormat="false" ht="15" hidden="false" customHeight="true" outlineLevel="0" collapsed="false">
      <c r="A350" s="26"/>
      <c r="D350" s="31"/>
    </row>
    <row r="351" customFormat="false" ht="15" hidden="false" customHeight="true" outlineLevel="0" collapsed="false">
      <c r="A351" s="26"/>
      <c r="D351" s="31"/>
    </row>
    <row r="352" customFormat="false" ht="15" hidden="false" customHeight="true" outlineLevel="0" collapsed="false">
      <c r="A352" s="26"/>
      <c r="D352" s="31"/>
    </row>
    <row r="353" customFormat="false" ht="15" hidden="false" customHeight="true" outlineLevel="0" collapsed="false">
      <c r="A353" s="26"/>
      <c r="D353" s="31"/>
    </row>
    <row r="354" customFormat="false" ht="15" hidden="false" customHeight="true" outlineLevel="0" collapsed="false">
      <c r="A354" s="26"/>
      <c r="D354" s="31"/>
    </row>
    <row r="355" customFormat="false" ht="15" hidden="false" customHeight="true" outlineLevel="0" collapsed="false">
      <c r="A355" s="26"/>
      <c r="D355" s="31"/>
    </row>
    <row r="356" customFormat="false" ht="15" hidden="false" customHeight="true" outlineLevel="0" collapsed="false">
      <c r="A356" s="26"/>
      <c r="D356" s="31"/>
    </row>
    <row r="357" customFormat="false" ht="15" hidden="false" customHeight="true" outlineLevel="0" collapsed="false">
      <c r="A357" s="26"/>
      <c r="D357" s="31"/>
    </row>
    <row r="358" customFormat="false" ht="15" hidden="false" customHeight="true" outlineLevel="0" collapsed="false">
      <c r="A358" s="26"/>
      <c r="D358" s="31"/>
    </row>
    <row r="359" customFormat="false" ht="15" hidden="false" customHeight="true" outlineLevel="0" collapsed="false">
      <c r="A359" s="26"/>
      <c r="D359" s="31"/>
    </row>
    <row r="360" customFormat="false" ht="15" hidden="false" customHeight="true" outlineLevel="0" collapsed="false">
      <c r="A360" s="26"/>
      <c r="D360" s="31"/>
    </row>
    <row r="361" customFormat="false" ht="15" hidden="false" customHeight="true" outlineLevel="0" collapsed="false">
      <c r="A361" s="26"/>
      <c r="D361" s="31"/>
    </row>
    <row r="362" customFormat="false" ht="15" hidden="false" customHeight="true" outlineLevel="0" collapsed="false">
      <c r="A362" s="26"/>
      <c r="D362" s="31"/>
    </row>
    <row r="363" customFormat="false" ht="15" hidden="false" customHeight="true" outlineLevel="0" collapsed="false">
      <c r="A363" s="26"/>
      <c r="D363" s="31"/>
    </row>
    <row r="364" customFormat="false" ht="15" hidden="false" customHeight="true" outlineLevel="0" collapsed="false">
      <c r="A364" s="26"/>
      <c r="D364" s="31"/>
    </row>
    <row r="365" customFormat="false" ht="15" hidden="false" customHeight="true" outlineLevel="0" collapsed="false">
      <c r="A365" s="26"/>
      <c r="D365" s="31"/>
    </row>
    <row r="366" customFormat="false" ht="15" hidden="false" customHeight="true" outlineLevel="0" collapsed="false">
      <c r="A366" s="26"/>
      <c r="D366" s="31"/>
    </row>
    <row r="367" customFormat="false" ht="15" hidden="false" customHeight="true" outlineLevel="0" collapsed="false">
      <c r="A367" s="26"/>
      <c r="D367" s="31"/>
    </row>
    <row r="368" customFormat="false" ht="15" hidden="false" customHeight="true" outlineLevel="0" collapsed="false">
      <c r="A368" s="26"/>
      <c r="D368" s="31"/>
    </row>
    <row r="369" customFormat="false" ht="15" hidden="false" customHeight="true" outlineLevel="0" collapsed="false">
      <c r="A369" s="26"/>
      <c r="D369" s="31"/>
    </row>
    <row r="370" customFormat="false" ht="15" hidden="false" customHeight="true" outlineLevel="0" collapsed="false">
      <c r="A370" s="26"/>
      <c r="D370" s="31"/>
    </row>
    <row r="371" customFormat="false" ht="15" hidden="false" customHeight="true" outlineLevel="0" collapsed="false">
      <c r="A371" s="26"/>
      <c r="D371" s="31"/>
    </row>
    <row r="372" customFormat="false" ht="15" hidden="false" customHeight="true" outlineLevel="0" collapsed="false">
      <c r="A372" s="26"/>
      <c r="D372" s="31"/>
    </row>
    <row r="373" customFormat="false" ht="15" hidden="false" customHeight="true" outlineLevel="0" collapsed="false">
      <c r="A373" s="26"/>
      <c r="D373" s="31"/>
    </row>
    <row r="374" customFormat="false" ht="15" hidden="false" customHeight="true" outlineLevel="0" collapsed="false">
      <c r="A374" s="26"/>
      <c r="D374" s="31"/>
    </row>
    <row r="375" customFormat="false" ht="15" hidden="false" customHeight="true" outlineLevel="0" collapsed="false">
      <c r="A375" s="26"/>
      <c r="D375" s="31"/>
    </row>
    <row r="376" customFormat="false" ht="15" hidden="false" customHeight="true" outlineLevel="0" collapsed="false">
      <c r="A376" s="26"/>
      <c r="D376" s="31"/>
    </row>
    <row r="377" customFormat="false" ht="15" hidden="false" customHeight="true" outlineLevel="0" collapsed="false">
      <c r="A377" s="26"/>
      <c r="D377" s="31"/>
    </row>
    <row r="378" customFormat="false" ht="15" hidden="false" customHeight="true" outlineLevel="0" collapsed="false">
      <c r="A378" s="26"/>
      <c r="D378" s="31"/>
    </row>
    <row r="379" customFormat="false" ht="15" hidden="false" customHeight="true" outlineLevel="0" collapsed="false">
      <c r="A379" s="26"/>
      <c r="D379" s="31"/>
    </row>
    <row r="380" customFormat="false" ht="15" hidden="false" customHeight="true" outlineLevel="0" collapsed="false">
      <c r="A380" s="26"/>
      <c r="D380" s="31"/>
    </row>
    <row r="381" customFormat="false" ht="15" hidden="false" customHeight="true" outlineLevel="0" collapsed="false">
      <c r="A381" s="26"/>
      <c r="D381" s="31"/>
    </row>
    <row r="382" customFormat="false" ht="15" hidden="false" customHeight="true" outlineLevel="0" collapsed="false">
      <c r="A382" s="26"/>
      <c r="D382" s="31"/>
    </row>
    <row r="383" customFormat="false" ht="15" hidden="false" customHeight="true" outlineLevel="0" collapsed="false">
      <c r="A383" s="26"/>
      <c r="D383" s="31"/>
    </row>
    <row r="384" customFormat="false" ht="15" hidden="false" customHeight="true" outlineLevel="0" collapsed="false">
      <c r="A384" s="26"/>
      <c r="D384" s="31"/>
    </row>
    <row r="385" customFormat="false" ht="15" hidden="false" customHeight="true" outlineLevel="0" collapsed="false">
      <c r="A385" s="26"/>
      <c r="D385" s="31"/>
    </row>
    <row r="386" customFormat="false" ht="15" hidden="false" customHeight="true" outlineLevel="0" collapsed="false">
      <c r="A386" s="26"/>
      <c r="D386" s="31"/>
    </row>
    <row r="387" customFormat="false" ht="15" hidden="false" customHeight="true" outlineLevel="0" collapsed="false">
      <c r="A387" s="26"/>
      <c r="D387" s="31"/>
    </row>
    <row r="388" customFormat="false" ht="15" hidden="false" customHeight="true" outlineLevel="0" collapsed="false">
      <c r="A388" s="26"/>
      <c r="D388" s="31"/>
    </row>
    <row r="389" customFormat="false" ht="15" hidden="false" customHeight="true" outlineLevel="0" collapsed="false">
      <c r="A389" s="26"/>
      <c r="D389" s="31"/>
    </row>
    <row r="390" customFormat="false" ht="15" hidden="false" customHeight="true" outlineLevel="0" collapsed="false">
      <c r="A390" s="26"/>
      <c r="D390" s="31"/>
    </row>
    <row r="391" customFormat="false" ht="15" hidden="false" customHeight="true" outlineLevel="0" collapsed="false">
      <c r="A391" s="26"/>
      <c r="D391" s="31"/>
    </row>
    <row r="392" customFormat="false" ht="15" hidden="false" customHeight="true" outlineLevel="0" collapsed="false">
      <c r="A392" s="26"/>
      <c r="D392" s="31"/>
    </row>
    <row r="393" customFormat="false" ht="15" hidden="false" customHeight="true" outlineLevel="0" collapsed="false">
      <c r="A393" s="26"/>
      <c r="D393" s="31"/>
    </row>
    <row r="394" customFormat="false" ht="15" hidden="false" customHeight="true" outlineLevel="0" collapsed="false">
      <c r="A394" s="26"/>
      <c r="D394" s="31"/>
    </row>
    <row r="395" customFormat="false" ht="15" hidden="false" customHeight="true" outlineLevel="0" collapsed="false">
      <c r="A395" s="26"/>
      <c r="D395" s="31"/>
    </row>
    <row r="396" customFormat="false" ht="15" hidden="false" customHeight="true" outlineLevel="0" collapsed="false">
      <c r="A396" s="26"/>
      <c r="D396" s="31"/>
    </row>
    <row r="397" customFormat="false" ht="15" hidden="false" customHeight="true" outlineLevel="0" collapsed="false">
      <c r="A397" s="26"/>
      <c r="D397" s="31"/>
    </row>
    <row r="398" customFormat="false" ht="15" hidden="false" customHeight="true" outlineLevel="0" collapsed="false">
      <c r="A398" s="26"/>
      <c r="D398" s="31"/>
    </row>
    <row r="399" customFormat="false" ht="15" hidden="false" customHeight="true" outlineLevel="0" collapsed="false">
      <c r="A399" s="26"/>
      <c r="D399" s="31"/>
    </row>
    <row r="400" customFormat="false" ht="15" hidden="false" customHeight="true" outlineLevel="0" collapsed="false">
      <c r="A400" s="26"/>
      <c r="D400" s="31"/>
    </row>
    <row r="401" customFormat="false" ht="15" hidden="false" customHeight="true" outlineLevel="0" collapsed="false">
      <c r="A401" s="26"/>
      <c r="D401" s="31"/>
    </row>
    <row r="402" customFormat="false" ht="15" hidden="false" customHeight="true" outlineLevel="0" collapsed="false">
      <c r="A402" s="26"/>
      <c r="D402" s="31"/>
    </row>
    <row r="403" customFormat="false" ht="15" hidden="false" customHeight="true" outlineLevel="0" collapsed="false">
      <c r="A403" s="26"/>
      <c r="D403" s="31"/>
    </row>
    <row r="404" customFormat="false" ht="15" hidden="false" customHeight="true" outlineLevel="0" collapsed="false">
      <c r="A404" s="26"/>
      <c r="D404" s="31"/>
    </row>
    <row r="405" customFormat="false" ht="15" hidden="false" customHeight="true" outlineLevel="0" collapsed="false">
      <c r="A405" s="26"/>
      <c r="D405" s="31"/>
    </row>
    <row r="406" customFormat="false" ht="15" hidden="false" customHeight="true" outlineLevel="0" collapsed="false">
      <c r="A406" s="26"/>
      <c r="D406" s="31"/>
    </row>
    <row r="407" customFormat="false" ht="15" hidden="false" customHeight="true" outlineLevel="0" collapsed="false">
      <c r="A407" s="26"/>
      <c r="D407" s="31"/>
    </row>
    <row r="408" customFormat="false" ht="15" hidden="false" customHeight="true" outlineLevel="0" collapsed="false">
      <c r="A408" s="26"/>
      <c r="D408" s="31"/>
    </row>
    <row r="409" customFormat="false" ht="15" hidden="false" customHeight="true" outlineLevel="0" collapsed="false">
      <c r="A409" s="26"/>
      <c r="D409" s="31"/>
    </row>
    <row r="410" customFormat="false" ht="15" hidden="false" customHeight="true" outlineLevel="0" collapsed="false">
      <c r="A410" s="26"/>
      <c r="D410" s="31"/>
    </row>
    <row r="411" customFormat="false" ht="15" hidden="false" customHeight="true" outlineLevel="0" collapsed="false">
      <c r="A411" s="26"/>
      <c r="D411" s="31"/>
    </row>
    <row r="412" customFormat="false" ht="15" hidden="false" customHeight="true" outlineLevel="0" collapsed="false">
      <c r="A412" s="26"/>
      <c r="D412" s="31"/>
    </row>
    <row r="413" customFormat="false" ht="15" hidden="false" customHeight="true" outlineLevel="0" collapsed="false">
      <c r="A413" s="26"/>
      <c r="D413" s="31"/>
    </row>
    <row r="414" customFormat="false" ht="15" hidden="false" customHeight="true" outlineLevel="0" collapsed="false">
      <c r="A414" s="26"/>
      <c r="D414" s="31"/>
    </row>
    <row r="415" customFormat="false" ht="15" hidden="false" customHeight="true" outlineLevel="0" collapsed="false">
      <c r="A415" s="26"/>
      <c r="D415" s="31"/>
    </row>
    <row r="416" customFormat="false" ht="15" hidden="false" customHeight="true" outlineLevel="0" collapsed="false">
      <c r="A416" s="26"/>
      <c r="D416" s="31"/>
    </row>
    <row r="417" customFormat="false" ht="15" hidden="false" customHeight="true" outlineLevel="0" collapsed="false">
      <c r="A417" s="26"/>
      <c r="D417" s="31"/>
    </row>
    <row r="418" customFormat="false" ht="15" hidden="false" customHeight="true" outlineLevel="0" collapsed="false">
      <c r="A418" s="26"/>
      <c r="D418" s="31"/>
    </row>
    <row r="419" customFormat="false" ht="15" hidden="false" customHeight="true" outlineLevel="0" collapsed="false">
      <c r="A419" s="26"/>
      <c r="D419" s="31"/>
    </row>
    <row r="420" customFormat="false" ht="15" hidden="false" customHeight="true" outlineLevel="0" collapsed="false">
      <c r="A420" s="26"/>
      <c r="D420" s="31"/>
    </row>
    <row r="421" customFormat="false" ht="15" hidden="false" customHeight="true" outlineLevel="0" collapsed="false">
      <c r="A421" s="26"/>
      <c r="D421" s="31"/>
    </row>
    <row r="422" customFormat="false" ht="15" hidden="false" customHeight="true" outlineLevel="0" collapsed="false">
      <c r="A422" s="26"/>
      <c r="D422" s="31"/>
    </row>
    <row r="423" customFormat="false" ht="15" hidden="false" customHeight="true" outlineLevel="0" collapsed="false">
      <c r="A423" s="26"/>
      <c r="D423" s="31"/>
    </row>
    <row r="424" customFormat="false" ht="15" hidden="false" customHeight="true" outlineLevel="0" collapsed="false">
      <c r="A424" s="26"/>
      <c r="D424" s="31"/>
    </row>
    <row r="425" customFormat="false" ht="15" hidden="false" customHeight="true" outlineLevel="0" collapsed="false">
      <c r="A425" s="26"/>
      <c r="D425" s="31"/>
    </row>
    <row r="426" customFormat="false" ht="15" hidden="false" customHeight="true" outlineLevel="0" collapsed="false">
      <c r="A426" s="26"/>
      <c r="D426" s="31"/>
    </row>
    <row r="427" customFormat="false" ht="15" hidden="false" customHeight="true" outlineLevel="0" collapsed="false">
      <c r="A427" s="26"/>
      <c r="D427" s="31"/>
    </row>
    <row r="428" customFormat="false" ht="15" hidden="false" customHeight="true" outlineLevel="0" collapsed="false">
      <c r="A428" s="26"/>
      <c r="D428" s="31"/>
    </row>
    <row r="429" customFormat="false" ht="15" hidden="false" customHeight="true" outlineLevel="0" collapsed="false">
      <c r="A429" s="26"/>
      <c r="D429" s="31"/>
    </row>
    <row r="430" customFormat="false" ht="15" hidden="false" customHeight="true" outlineLevel="0" collapsed="false">
      <c r="A430" s="26"/>
      <c r="D430" s="31"/>
    </row>
    <row r="431" customFormat="false" ht="15" hidden="false" customHeight="true" outlineLevel="0" collapsed="false">
      <c r="A431" s="26"/>
      <c r="D431" s="31"/>
    </row>
    <row r="432" customFormat="false" ht="15" hidden="false" customHeight="true" outlineLevel="0" collapsed="false">
      <c r="A432" s="26"/>
      <c r="D432" s="31"/>
    </row>
    <row r="433" customFormat="false" ht="15" hidden="false" customHeight="true" outlineLevel="0" collapsed="false">
      <c r="A433" s="26"/>
      <c r="D433" s="31"/>
    </row>
    <row r="434" customFormat="false" ht="15" hidden="false" customHeight="true" outlineLevel="0" collapsed="false">
      <c r="A434" s="26"/>
      <c r="D434" s="31"/>
    </row>
    <row r="435" customFormat="false" ht="15" hidden="false" customHeight="true" outlineLevel="0" collapsed="false">
      <c r="A435" s="26"/>
      <c r="D435" s="31"/>
    </row>
    <row r="436" customFormat="false" ht="15" hidden="false" customHeight="true" outlineLevel="0" collapsed="false">
      <c r="A436" s="26"/>
      <c r="D436" s="31"/>
    </row>
    <row r="437" customFormat="false" ht="15" hidden="false" customHeight="true" outlineLevel="0" collapsed="false">
      <c r="A437" s="26"/>
      <c r="D437" s="31"/>
    </row>
    <row r="438" customFormat="false" ht="15" hidden="false" customHeight="true" outlineLevel="0" collapsed="false">
      <c r="A438" s="26"/>
      <c r="D438" s="31"/>
    </row>
    <row r="439" customFormat="false" ht="15" hidden="false" customHeight="true" outlineLevel="0" collapsed="false">
      <c r="A439" s="26"/>
      <c r="D439" s="31"/>
    </row>
    <row r="440" customFormat="false" ht="15" hidden="false" customHeight="true" outlineLevel="0" collapsed="false">
      <c r="A440" s="26"/>
      <c r="D440" s="31"/>
    </row>
    <row r="441" customFormat="false" ht="15" hidden="false" customHeight="true" outlineLevel="0" collapsed="false">
      <c r="A441" s="26"/>
      <c r="D441" s="31"/>
    </row>
    <row r="442" customFormat="false" ht="15" hidden="false" customHeight="true" outlineLevel="0" collapsed="false">
      <c r="A442" s="26"/>
      <c r="D442" s="31"/>
    </row>
    <row r="443" customFormat="false" ht="15" hidden="false" customHeight="true" outlineLevel="0" collapsed="false">
      <c r="A443" s="26"/>
      <c r="D443" s="31"/>
    </row>
    <row r="444" customFormat="false" ht="15" hidden="false" customHeight="true" outlineLevel="0" collapsed="false">
      <c r="A444" s="26"/>
      <c r="D444" s="31"/>
    </row>
    <row r="445" customFormat="false" ht="15" hidden="false" customHeight="true" outlineLevel="0" collapsed="false">
      <c r="A445" s="26"/>
      <c r="D445" s="31"/>
    </row>
    <row r="446" customFormat="false" ht="15" hidden="false" customHeight="true" outlineLevel="0" collapsed="false">
      <c r="A446" s="26"/>
      <c r="D446" s="31"/>
    </row>
    <row r="447" customFormat="false" ht="15" hidden="false" customHeight="true" outlineLevel="0" collapsed="false">
      <c r="A447" s="26"/>
      <c r="D447" s="31"/>
    </row>
    <row r="448" customFormat="false" ht="15" hidden="false" customHeight="true" outlineLevel="0" collapsed="false">
      <c r="A448" s="26"/>
      <c r="D448" s="31"/>
    </row>
    <row r="449" customFormat="false" ht="15" hidden="false" customHeight="true" outlineLevel="0" collapsed="false">
      <c r="A449" s="26"/>
      <c r="D449" s="31"/>
    </row>
    <row r="450" customFormat="false" ht="15" hidden="false" customHeight="true" outlineLevel="0" collapsed="false">
      <c r="A450" s="26"/>
      <c r="D450" s="31"/>
    </row>
    <row r="451" customFormat="false" ht="15" hidden="false" customHeight="true" outlineLevel="0" collapsed="false">
      <c r="A451" s="26"/>
      <c r="D451" s="31"/>
    </row>
    <row r="452" customFormat="false" ht="15" hidden="false" customHeight="true" outlineLevel="0" collapsed="false">
      <c r="A452" s="26"/>
      <c r="D452" s="31"/>
    </row>
    <row r="453" customFormat="false" ht="15" hidden="false" customHeight="true" outlineLevel="0" collapsed="false">
      <c r="A453" s="26"/>
      <c r="D453" s="31"/>
    </row>
    <row r="454" customFormat="false" ht="15" hidden="false" customHeight="true" outlineLevel="0" collapsed="false">
      <c r="A454" s="26"/>
      <c r="D454" s="31"/>
    </row>
    <row r="455" customFormat="false" ht="15" hidden="false" customHeight="true" outlineLevel="0" collapsed="false">
      <c r="A455" s="26"/>
      <c r="D455" s="31"/>
    </row>
    <row r="456" customFormat="false" ht="15" hidden="false" customHeight="true" outlineLevel="0" collapsed="false">
      <c r="A456" s="26"/>
      <c r="D456" s="31"/>
    </row>
    <row r="457" customFormat="false" ht="15" hidden="false" customHeight="true" outlineLevel="0" collapsed="false">
      <c r="A457" s="26"/>
      <c r="D457" s="31"/>
    </row>
    <row r="458" customFormat="false" ht="15" hidden="false" customHeight="true" outlineLevel="0" collapsed="false">
      <c r="A458" s="26"/>
      <c r="D458" s="31"/>
    </row>
    <row r="459" customFormat="false" ht="15" hidden="false" customHeight="true" outlineLevel="0" collapsed="false">
      <c r="A459" s="26"/>
      <c r="D459" s="31"/>
    </row>
    <row r="460" customFormat="false" ht="15" hidden="false" customHeight="true" outlineLevel="0" collapsed="false">
      <c r="A460" s="26"/>
      <c r="D460" s="31"/>
    </row>
    <row r="461" customFormat="false" ht="15" hidden="false" customHeight="true" outlineLevel="0" collapsed="false">
      <c r="A461" s="26"/>
      <c r="D461" s="31"/>
    </row>
    <row r="462" customFormat="false" ht="15" hidden="false" customHeight="true" outlineLevel="0" collapsed="false">
      <c r="A462" s="26"/>
      <c r="D462" s="31"/>
    </row>
    <row r="463" customFormat="false" ht="15" hidden="false" customHeight="true" outlineLevel="0" collapsed="false">
      <c r="A463" s="26"/>
      <c r="D463" s="31"/>
    </row>
    <row r="464" customFormat="false" ht="15" hidden="false" customHeight="true" outlineLevel="0" collapsed="false">
      <c r="A464" s="26"/>
      <c r="D464" s="31"/>
    </row>
    <row r="465" customFormat="false" ht="15" hidden="false" customHeight="true" outlineLevel="0" collapsed="false">
      <c r="A465" s="26"/>
      <c r="D465" s="31"/>
    </row>
    <row r="466" customFormat="false" ht="15" hidden="false" customHeight="true" outlineLevel="0" collapsed="false">
      <c r="A466" s="26"/>
      <c r="D466" s="31"/>
    </row>
    <row r="467" customFormat="false" ht="15" hidden="false" customHeight="true" outlineLevel="0" collapsed="false">
      <c r="A467" s="26"/>
      <c r="D467" s="31"/>
    </row>
    <row r="468" customFormat="false" ht="15" hidden="false" customHeight="true" outlineLevel="0" collapsed="false">
      <c r="A468" s="26"/>
      <c r="D468" s="31"/>
    </row>
    <row r="469" customFormat="false" ht="15" hidden="false" customHeight="true" outlineLevel="0" collapsed="false">
      <c r="A469" s="26"/>
      <c r="D469" s="31"/>
    </row>
    <row r="470" customFormat="false" ht="15" hidden="false" customHeight="true" outlineLevel="0" collapsed="false">
      <c r="A470" s="26"/>
      <c r="D470" s="31"/>
    </row>
    <row r="471" customFormat="false" ht="15" hidden="false" customHeight="true" outlineLevel="0" collapsed="false">
      <c r="A471" s="26"/>
      <c r="D471" s="31"/>
    </row>
    <row r="472" customFormat="false" ht="15" hidden="false" customHeight="true" outlineLevel="0" collapsed="false">
      <c r="A472" s="26"/>
      <c r="D472" s="31"/>
    </row>
    <row r="473" customFormat="false" ht="15" hidden="false" customHeight="true" outlineLevel="0" collapsed="false">
      <c r="A473" s="26"/>
      <c r="D473" s="31"/>
    </row>
    <row r="474" customFormat="false" ht="15" hidden="false" customHeight="true" outlineLevel="0" collapsed="false">
      <c r="A474" s="26"/>
      <c r="D474" s="31"/>
    </row>
    <row r="475" customFormat="false" ht="15" hidden="false" customHeight="true" outlineLevel="0" collapsed="false">
      <c r="A475" s="26"/>
      <c r="D475" s="31"/>
    </row>
    <row r="476" customFormat="false" ht="15" hidden="false" customHeight="true" outlineLevel="0" collapsed="false">
      <c r="A476" s="26"/>
      <c r="D476" s="31"/>
    </row>
    <row r="477" customFormat="false" ht="15" hidden="false" customHeight="true" outlineLevel="0" collapsed="false">
      <c r="A477" s="26"/>
      <c r="D477" s="31"/>
    </row>
    <row r="478" customFormat="false" ht="15" hidden="false" customHeight="true" outlineLevel="0" collapsed="false">
      <c r="A478" s="26"/>
      <c r="D478" s="31"/>
    </row>
    <row r="479" customFormat="false" ht="15" hidden="false" customHeight="true" outlineLevel="0" collapsed="false">
      <c r="A479" s="26"/>
      <c r="D479" s="31"/>
    </row>
    <row r="480" customFormat="false" ht="15" hidden="false" customHeight="true" outlineLevel="0" collapsed="false">
      <c r="A480" s="26"/>
      <c r="D480" s="31"/>
    </row>
    <row r="481" customFormat="false" ht="15" hidden="false" customHeight="true" outlineLevel="0" collapsed="false">
      <c r="A481" s="26"/>
      <c r="D481" s="31"/>
    </row>
    <row r="482" customFormat="false" ht="15" hidden="false" customHeight="true" outlineLevel="0" collapsed="false">
      <c r="A482" s="26"/>
      <c r="D482" s="31"/>
    </row>
    <row r="483" customFormat="false" ht="15" hidden="false" customHeight="true" outlineLevel="0" collapsed="false">
      <c r="A483" s="26"/>
      <c r="D483" s="31"/>
    </row>
    <row r="484" customFormat="false" ht="15" hidden="false" customHeight="true" outlineLevel="0" collapsed="false">
      <c r="A484" s="26"/>
      <c r="D484" s="31"/>
    </row>
    <row r="485" customFormat="false" ht="15" hidden="false" customHeight="true" outlineLevel="0" collapsed="false">
      <c r="A485" s="26"/>
      <c r="D485" s="31"/>
    </row>
    <row r="486" customFormat="false" ht="15" hidden="false" customHeight="true" outlineLevel="0" collapsed="false">
      <c r="A486" s="26"/>
      <c r="D486" s="31"/>
    </row>
    <row r="487" customFormat="false" ht="15" hidden="false" customHeight="true" outlineLevel="0" collapsed="false">
      <c r="A487" s="26"/>
      <c r="D487" s="31"/>
    </row>
    <row r="488" customFormat="false" ht="15" hidden="false" customHeight="true" outlineLevel="0" collapsed="false">
      <c r="A488" s="26"/>
      <c r="D488" s="31"/>
    </row>
    <row r="489" customFormat="false" ht="15" hidden="false" customHeight="true" outlineLevel="0" collapsed="false">
      <c r="A489" s="26"/>
      <c r="D489" s="31"/>
    </row>
    <row r="490" customFormat="false" ht="15" hidden="false" customHeight="true" outlineLevel="0" collapsed="false">
      <c r="A490" s="26"/>
      <c r="D490" s="31"/>
    </row>
    <row r="491" customFormat="false" ht="15" hidden="false" customHeight="true" outlineLevel="0" collapsed="false">
      <c r="A491" s="26"/>
      <c r="D491" s="31"/>
    </row>
    <row r="492" customFormat="false" ht="15" hidden="false" customHeight="true" outlineLevel="0" collapsed="false">
      <c r="A492" s="26"/>
      <c r="D492" s="31"/>
    </row>
    <row r="493" customFormat="false" ht="15" hidden="false" customHeight="true" outlineLevel="0" collapsed="false">
      <c r="A493" s="26"/>
      <c r="D493" s="31"/>
    </row>
    <row r="494" customFormat="false" ht="15" hidden="false" customHeight="true" outlineLevel="0" collapsed="false">
      <c r="A494" s="26"/>
      <c r="D494" s="31"/>
    </row>
    <row r="495" customFormat="false" ht="15" hidden="false" customHeight="true" outlineLevel="0" collapsed="false">
      <c r="A495" s="26"/>
      <c r="D495" s="31"/>
    </row>
    <row r="496" customFormat="false" ht="15" hidden="false" customHeight="true" outlineLevel="0" collapsed="false">
      <c r="A496" s="26"/>
      <c r="D496" s="31"/>
    </row>
    <row r="497" customFormat="false" ht="15" hidden="false" customHeight="true" outlineLevel="0" collapsed="false">
      <c r="A497" s="26"/>
      <c r="D497" s="31"/>
    </row>
    <row r="498" customFormat="false" ht="15" hidden="false" customHeight="true" outlineLevel="0" collapsed="false">
      <c r="A498" s="26"/>
      <c r="D498" s="31"/>
    </row>
    <row r="499" customFormat="false" ht="15" hidden="false" customHeight="true" outlineLevel="0" collapsed="false">
      <c r="A499" s="26"/>
      <c r="D499" s="31"/>
    </row>
    <row r="500" customFormat="false" ht="15" hidden="false" customHeight="true" outlineLevel="0" collapsed="false">
      <c r="A500" s="26"/>
      <c r="D500" s="31"/>
    </row>
    <row r="501" customFormat="false" ht="15" hidden="false" customHeight="true" outlineLevel="0" collapsed="false">
      <c r="A501" s="26"/>
      <c r="D501" s="31"/>
    </row>
    <row r="502" customFormat="false" ht="15" hidden="false" customHeight="true" outlineLevel="0" collapsed="false">
      <c r="A502" s="26"/>
      <c r="D502" s="31"/>
    </row>
    <row r="503" customFormat="false" ht="15" hidden="false" customHeight="true" outlineLevel="0" collapsed="false">
      <c r="A503" s="26"/>
      <c r="D503" s="31"/>
    </row>
    <row r="504" customFormat="false" ht="15" hidden="false" customHeight="true" outlineLevel="0" collapsed="false">
      <c r="A504" s="26"/>
      <c r="D504" s="31"/>
    </row>
    <row r="505" customFormat="false" ht="15" hidden="false" customHeight="true" outlineLevel="0" collapsed="false">
      <c r="A505" s="26"/>
      <c r="D505" s="31"/>
    </row>
    <row r="506" customFormat="false" ht="15" hidden="false" customHeight="true" outlineLevel="0" collapsed="false">
      <c r="A506" s="26"/>
      <c r="D506" s="31"/>
    </row>
    <row r="507" customFormat="false" ht="15" hidden="false" customHeight="true" outlineLevel="0" collapsed="false">
      <c r="A507" s="26"/>
      <c r="D507" s="31"/>
    </row>
    <row r="508" customFormat="false" ht="15" hidden="false" customHeight="true" outlineLevel="0" collapsed="false">
      <c r="A508" s="26"/>
      <c r="D508" s="31"/>
    </row>
    <row r="509" customFormat="false" ht="15" hidden="false" customHeight="true" outlineLevel="0" collapsed="false">
      <c r="A509" s="26"/>
      <c r="D509" s="31"/>
    </row>
    <row r="510" customFormat="false" ht="15" hidden="false" customHeight="true" outlineLevel="0" collapsed="false">
      <c r="A510" s="26"/>
      <c r="D510" s="31"/>
    </row>
    <row r="511" customFormat="false" ht="15" hidden="false" customHeight="true" outlineLevel="0" collapsed="false">
      <c r="A511" s="26"/>
      <c r="D511" s="31"/>
    </row>
    <row r="512" customFormat="false" ht="15" hidden="false" customHeight="true" outlineLevel="0" collapsed="false">
      <c r="A512" s="26"/>
      <c r="D512" s="31"/>
    </row>
    <row r="513" customFormat="false" ht="15" hidden="false" customHeight="true" outlineLevel="0" collapsed="false">
      <c r="A513" s="26"/>
      <c r="D513" s="31"/>
    </row>
    <row r="514" customFormat="false" ht="15" hidden="false" customHeight="true" outlineLevel="0" collapsed="false">
      <c r="A514" s="26"/>
      <c r="D514" s="31"/>
    </row>
    <row r="515" customFormat="false" ht="15" hidden="false" customHeight="true" outlineLevel="0" collapsed="false">
      <c r="A515" s="26"/>
      <c r="D515" s="31"/>
    </row>
    <row r="516" customFormat="false" ht="15" hidden="false" customHeight="true" outlineLevel="0" collapsed="false">
      <c r="A516" s="26"/>
      <c r="D516" s="31"/>
    </row>
    <row r="517" customFormat="false" ht="15" hidden="false" customHeight="true" outlineLevel="0" collapsed="false">
      <c r="A517" s="26"/>
      <c r="D517" s="31"/>
    </row>
    <row r="518" customFormat="false" ht="15" hidden="false" customHeight="true" outlineLevel="0" collapsed="false">
      <c r="A518" s="26"/>
      <c r="D518" s="31"/>
    </row>
    <row r="519" customFormat="false" ht="15" hidden="false" customHeight="true" outlineLevel="0" collapsed="false">
      <c r="A519" s="26"/>
      <c r="D519" s="31"/>
    </row>
    <row r="520" customFormat="false" ht="15" hidden="false" customHeight="true" outlineLevel="0" collapsed="false">
      <c r="A520" s="26"/>
      <c r="D520" s="31"/>
    </row>
    <row r="521" customFormat="false" ht="15" hidden="false" customHeight="true" outlineLevel="0" collapsed="false">
      <c r="A521" s="26"/>
      <c r="D521" s="31"/>
    </row>
    <row r="522" customFormat="false" ht="15" hidden="false" customHeight="true" outlineLevel="0" collapsed="false">
      <c r="A522" s="26"/>
      <c r="D522" s="31"/>
    </row>
    <row r="523" customFormat="false" ht="15" hidden="false" customHeight="true" outlineLevel="0" collapsed="false">
      <c r="A523" s="26"/>
      <c r="D523" s="31"/>
    </row>
    <row r="524" customFormat="false" ht="15" hidden="false" customHeight="true" outlineLevel="0" collapsed="false">
      <c r="A524" s="26"/>
      <c r="D524" s="31"/>
    </row>
    <row r="525" customFormat="false" ht="15" hidden="false" customHeight="true" outlineLevel="0" collapsed="false">
      <c r="A525" s="26"/>
      <c r="D525" s="31"/>
    </row>
    <row r="526" customFormat="false" ht="15" hidden="false" customHeight="true" outlineLevel="0" collapsed="false">
      <c r="A526" s="26"/>
      <c r="D526" s="31"/>
    </row>
    <row r="527" customFormat="false" ht="15" hidden="false" customHeight="true" outlineLevel="0" collapsed="false">
      <c r="A527" s="26"/>
      <c r="D527" s="31"/>
    </row>
    <row r="528" customFormat="false" ht="15" hidden="false" customHeight="true" outlineLevel="0" collapsed="false">
      <c r="A528" s="26"/>
      <c r="D528" s="31"/>
    </row>
    <row r="529" customFormat="false" ht="15" hidden="false" customHeight="true" outlineLevel="0" collapsed="false">
      <c r="A529" s="26"/>
      <c r="D529" s="31"/>
    </row>
    <row r="530" customFormat="false" ht="15" hidden="false" customHeight="true" outlineLevel="0" collapsed="false">
      <c r="A530" s="26"/>
      <c r="D530" s="31"/>
    </row>
    <row r="531" customFormat="false" ht="15" hidden="false" customHeight="true" outlineLevel="0" collapsed="false">
      <c r="A531" s="26"/>
      <c r="D531" s="31"/>
    </row>
    <row r="532" customFormat="false" ht="15" hidden="false" customHeight="true" outlineLevel="0" collapsed="false">
      <c r="A532" s="26"/>
      <c r="D532" s="31"/>
    </row>
    <row r="533" customFormat="false" ht="15" hidden="false" customHeight="true" outlineLevel="0" collapsed="false">
      <c r="A533" s="26"/>
      <c r="D533" s="31"/>
    </row>
    <row r="534" customFormat="false" ht="15" hidden="false" customHeight="true" outlineLevel="0" collapsed="false">
      <c r="A534" s="26"/>
      <c r="D534" s="31"/>
    </row>
    <row r="535" customFormat="false" ht="15" hidden="false" customHeight="true" outlineLevel="0" collapsed="false">
      <c r="A535" s="26"/>
      <c r="D535" s="31"/>
    </row>
    <row r="536" customFormat="false" ht="15" hidden="false" customHeight="true" outlineLevel="0" collapsed="false">
      <c r="A536" s="26"/>
      <c r="D536" s="31"/>
    </row>
    <row r="537" customFormat="false" ht="15" hidden="false" customHeight="true" outlineLevel="0" collapsed="false">
      <c r="A537" s="26"/>
      <c r="D537" s="31"/>
    </row>
    <row r="538" customFormat="false" ht="15" hidden="false" customHeight="true" outlineLevel="0" collapsed="false">
      <c r="A538" s="26"/>
      <c r="D538" s="31"/>
    </row>
    <row r="539" customFormat="false" ht="15" hidden="false" customHeight="true" outlineLevel="0" collapsed="false">
      <c r="A539" s="26"/>
      <c r="D539" s="31"/>
    </row>
    <row r="540" customFormat="false" ht="15" hidden="false" customHeight="true" outlineLevel="0" collapsed="false">
      <c r="A540" s="26"/>
      <c r="D540" s="31"/>
    </row>
    <row r="541" customFormat="false" ht="15" hidden="false" customHeight="true" outlineLevel="0" collapsed="false">
      <c r="A541" s="26"/>
      <c r="D541" s="31"/>
    </row>
    <row r="542" customFormat="false" ht="15" hidden="false" customHeight="true" outlineLevel="0" collapsed="false">
      <c r="A542" s="26"/>
      <c r="D542" s="31"/>
    </row>
    <row r="543" customFormat="false" ht="15" hidden="false" customHeight="true" outlineLevel="0" collapsed="false">
      <c r="A543" s="26"/>
      <c r="D543" s="31"/>
    </row>
    <row r="544" customFormat="false" ht="15" hidden="false" customHeight="true" outlineLevel="0" collapsed="false">
      <c r="A544" s="26"/>
      <c r="D544" s="31"/>
    </row>
    <row r="545" customFormat="false" ht="15" hidden="false" customHeight="true" outlineLevel="0" collapsed="false">
      <c r="A545" s="26"/>
      <c r="D545" s="31"/>
    </row>
    <row r="546" customFormat="false" ht="15" hidden="false" customHeight="true" outlineLevel="0" collapsed="false">
      <c r="A546" s="26"/>
      <c r="D546" s="31"/>
    </row>
    <row r="547" customFormat="false" ht="15" hidden="false" customHeight="true" outlineLevel="0" collapsed="false">
      <c r="A547" s="26"/>
      <c r="D547" s="31"/>
    </row>
    <row r="548" customFormat="false" ht="15" hidden="false" customHeight="true" outlineLevel="0" collapsed="false">
      <c r="A548" s="26"/>
      <c r="D548" s="31"/>
    </row>
    <row r="549" customFormat="false" ht="15" hidden="false" customHeight="true" outlineLevel="0" collapsed="false">
      <c r="A549" s="26"/>
      <c r="D549" s="31"/>
    </row>
    <row r="550" customFormat="false" ht="15" hidden="false" customHeight="true" outlineLevel="0" collapsed="false">
      <c r="A550" s="26"/>
      <c r="D550" s="31"/>
    </row>
    <row r="551" customFormat="false" ht="15" hidden="false" customHeight="true" outlineLevel="0" collapsed="false">
      <c r="A551" s="26"/>
      <c r="D551" s="31"/>
    </row>
    <row r="552" customFormat="false" ht="15" hidden="false" customHeight="true" outlineLevel="0" collapsed="false">
      <c r="A552" s="26"/>
      <c r="D552" s="31"/>
    </row>
    <row r="553" customFormat="false" ht="15" hidden="false" customHeight="true" outlineLevel="0" collapsed="false">
      <c r="A553" s="26"/>
      <c r="D553" s="31"/>
    </row>
    <row r="554" customFormat="false" ht="15" hidden="false" customHeight="true" outlineLevel="0" collapsed="false">
      <c r="A554" s="26"/>
      <c r="D554" s="31"/>
    </row>
    <row r="555" customFormat="false" ht="15" hidden="false" customHeight="true" outlineLevel="0" collapsed="false">
      <c r="A555" s="26"/>
      <c r="D555" s="31"/>
    </row>
    <row r="556" customFormat="false" ht="15" hidden="false" customHeight="true" outlineLevel="0" collapsed="false">
      <c r="A556" s="26"/>
      <c r="D556" s="31"/>
    </row>
    <row r="557" customFormat="false" ht="15" hidden="false" customHeight="true" outlineLevel="0" collapsed="false">
      <c r="A557" s="26"/>
      <c r="D557" s="31"/>
    </row>
    <row r="558" customFormat="false" ht="15" hidden="false" customHeight="true" outlineLevel="0" collapsed="false">
      <c r="A558" s="26"/>
      <c r="D558" s="31"/>
    </row>
    <row r="559" customFormat="false" ht="15" hidden="false" customHeight="true" outlineLevel="0" collapsed="false">
      <c r="A559" s="26"/>
      <c r="D559" s="31"/>
    </row>
    <row r="560" customFormat="false" ht="15" hidden="false" customHeight="true" outlineLevel="0" collapsed="false">
      <c r="A560" s="26"/>
      <c r="D560" s="31"/>
    </row>
    <row r="561" customFormat="false" ht="15" hidden="false" customHeight="true" outlineLevel="0" collapsed="false">
      <c r="A561" s="26"/>
      <c r="D561" s="31"/>
    </row>
    <row r="562" customFormat="false" ht="15" hidden="false" customHeight="true" outlineLevel="0" collapsed="false">
      <c r="A562" s="26"/>
      <c r="D562" s="31"/>
    </row>
    <row r="563" customFormat="false" ht="15" hidden="false" customHeight="true" outlineLevel="0" collapsed="false">
      <c r="A563" s="26"/>
      <c r="D563" s="31"/>
    </row>
    <row r="564" customFormat="false" ht="15" hidden="false" customHeight="true" outlineLevel="0" collapsed="false">
      <c r="A564" s="26"/>
      <c r="D564" s="31"/>
    </row>
    <row r="565" customFormat="false" ht="15" hidden="false" customHeight="true" outlineLevel="0" collapsed="false">
      <c r="A565" s="26"/>
      <c r="D565" s="31"/>
    </row>
    <row r="566" customFormat="false" ht="15" hidden="false" customHeight="true" outlineLevel="0" collapsed="false">
      <c r="A566" s="26"/>
      <c r="D566" s="31"/>
    </row>
    <row r="567" customFormat="false" ht="15" hidden="false" customHeight="true" outlineLevel="0" collapsed="false">
      <c r="A567" s="26"/>
      <c r="D567" s="31"/>
    </row>
    <row r="568" customFormat="false" ht="15" hidden="false" customHeight="true" outlineLevel="0" collapsed="false">
      <c r="A568" s="26"/>
      <c r="D568" s="31"/>
    </row>
    <row r="569" customFormat="false" ht="15" hidden="false" customHeight="true" outlineLevel="0" collapsed="false">
      <c r="A569" s="26"/>
      <c r="D569" s="31"/>
    </row>
    <row r="570" customFormat="false" ht="15" hidden="false" customHeight="true" outlineLevel="0" collapsed="false">
      <c r="A570" s="26"/>
      <c r="D570" s="31"/>
    </row>
    <row r="571" customFormat="false" ht="15" hidden="false" customHeight="true" outlineLevel="0" collapsed="false">
      <c r="A571" s="26"/>
      <c r="D571" s="31"/>
    </row>
    <row r="572" customFormat="false" ht="15" hidden="false" customHeight="true" outlineLevel="0" collapsed="false">
      <c r="A572" s="26"/>
      <c r="D572" s="31"/>
    </row>
    <row r="573" customFormat="false" ht="15" hidden="false" customHeight="true" outlineLevel="0" collapsed="false">
      <c r="A573" s="26"/>
      <c r="D573" s="31"/>
    </row>
    <row r="574" customFormat="false" ht="15" hidden="false" customHeight="true" outlineLevel="0" collapsed="false">
      <c r="A574" s="26"/>
      <c r="D574" s="31"/>
    </row>
    <row r="575" customFormat="false" ht="15" hidden="false" customHeight="true" outlineLevel="0" collapsed="false">
      <c r="A575" s="26"/>
      <c r="D575" s="31"/>
    </row>
    <row r="576" customFormat="false" ht="15" hidden="false" customHeight="true" outlineLevel="0" collapsed="false">
      <c r="A576" s="26"/>
      <c r="D576" s="31"/>
    </row>
    <row r="577" customFormat="false" ht="15" hidden="false" customHeight="true" outlineLevel="0" collapsed="false">
      <c r="A577" s="26"/>
      <c r="D577" s="31"/>
    </row>
    <row r="578" customFormat="false" ht="15" hidden="false" customHeight="true" outlineLevel="0" collapsed="false">
      <c r="A578" s="26"/>
      <c r="D578" s="31"/>
    </row>
    <row r="579" customFormat="false" ht="15" hidden="false" customHeight="true" outlineLevel="0" collapsed="false">
      <c r="A579" s="26"/>
      <c r="D579" s="31"/>
    </row>
    <row r="580" customFormat="false" ht="15" hidden="false" customHeight="true" outlineLevel="0" collapsed="false">
      <c r="A580" s="26"/>
      <c r="D580" s="31"/>
    </row>
    <row r="581" customFormat="false" ht="15" hidden="false" customHeight="true" outlineLevel="0" collapsed="false">
      <c r="A581" s="26"/>
      <c r="D581" s="31"/>
    </row>
    <row r="582" customFormat="false" ht="15" hidden="false" customHeight="true" outlineLevel="0" collapsed="false">
      <c r="A582" s="26"/>
      <c r="D582" s="31"/>
    </row>
    <row r="583" customFormat="false" ht="15" hidden="false" customHeight="true" outlineLevel="0" collapsed="false">
      <c r="A583" s="26"/>
      <c r="D583" s="31"/>
    </row>
    <row r="584" customFormat="false" ht="15" hidden="false" customHeight="true" outlineLevel="0" collapsed="false">
      <c r="A584" s="26"/>
      <c r="D584" s="31"/>
    </row>
    <row r="585" customFormat="false" ht="15" hidden="false" customHeight="true" outlineLevel="0" collapsed="false">
      <c r="A585" s="26"/>
      <c r="D585" s="31"/>
    </row>
    <row r="586" customFormat="false" ht="15" hidden="false" customHeight="true" outlineLevel="0" collapsed="false">
      <c r="A586" s="26"/>
      <c r="D586" s="31"/>
    </row>
    <row r="587" customFormat="false" ht="15" hidden="false" customHeight="true" outlineLevel="0" collapsed="false">
      <c r="A587" s="26"/>
      <c r="D587" s="31"/>
    </row>
    <row r="588" customFormat="false" ht="15" hidden="false" customHeight="true" outlineLevel="0" collapsed="false">
      <c r="A588" s="26"/>
      <c r="D588" s="31"/>
    </row>
    <row r="589" customFormat="false" ht="15" hidden="false" customHeight="true" outlineLevel="0" collapsed="false">
      <c r="A589" s="26"/>
      <c r="D589" s="31"/>
    </row>
    <row r="590" customFormat="false" ht="15" hidden="false" customHeight="true" outlineLevel="0" collapsed="false">
      <c r="A590" s="26"/>
      <c r="D590" s="31"/>
    </row>
    <row r="591" customFormat="false" ht="15" hidden="false" customHeight="true" outlineLevel="0" collapsed="false">
      <c r="A591" s="26"/>
      <c r="D591" s="31"/>
    </row>
    <row r="592" customFormat="false" ht="15" hidden="false" customHeight="true" outlineLevel="0" collapsed="false">
      <c r="A592" s="26"/>
      <c r="D592" s="31"/>
    </row>
    <row r="593" customFormat="false" ht="15" hidden="false" customHeight="true" outlineLevel="0" collapsed="false">
      <c r="A593" s="26"/>
      <c r="D593" s="31"/>
    </row>
    <row r="594" customFormat="false" ht="15" hidden="false" customHeight="true" outlineLevel="0" collapsed="false">
      <c r="A594" s="26"/>
      <c r="D594" s="31"/>
    </row>
    <row r="595" customFormat="false" ht="15" hidden="false" customHeight="true" outlineLevel="0" collapsed="false">
      <c r="A595" s="26"/>
      <c r="D595" s="31"/>
    </row>
    <row r="596" customFormat="false" ht="15" hidden="false" customHeight="true" outlineLevel="0" collapsed="false">
      <c r="A596" s="26"/>
      <c r="D596" s="31"/>
    </row>
    <row r="597" customFormat="false" ht="15" hidden="false" customHeight="true" outlineLevel="0" collapsed="false">
      <c r="A597" s="26"/>
      <c r="D597" s="31"/>
    </row>
    <row r="598" customFormat="false" ht="15" hidden="false" customHeight="true" outlineLevel="0" collapsed="false">
      <c r="A598" s="26"/>
      <c r="D598" s="31"/>
    </row>
    <row r="599" customFormat="false" ht="15" hidden="false" customHeight="true" outlineLevel="0" collapsed="false">
      <c r="A599" s="26"/>
      <c r="D599" s="31"/>
    </row>
    <row r="600" customFormat="false" ht="15" hidden="false" customHeight="true" outlineLevel="0" collapsed="false">
      <c r="A600" s="26"/>
      <c r="D600" s="31"/>
    </row>
    <row r="601" customFormat="false" ht="15" hidden="false" customHeight="true" outlineLevel="0" collapsed="false">
      <c r="A601" s="26"/>
      <c r="D601" s="31"/>
    </row>
    <row r="602" customFormat="false" ht="15" hidden="false" customHeight="true" outlineLevel="0" collapsed="false">
      <c r="A602" s="26"/>
      <c r="D602" s="31"/>
    </row>
    <row r="603" customFormat="false" ht="15" hidden="false" customHeight="true" outlineLevel="0" collapsed="false">
      <c r="A603" s="26"/>
      <c r="D603" s="31"/>
    </row>
    <row r="604" customFormat="false" ht="15" hidden="false" customHeight="true" outlineLevel="0" collapsed="false">
      <c r="A604" s="26"/>
      <c r="D604" s="31"/>
    </row>
    <row r="605" customFormat="false" ht="15" hidden="false" customHeight="true" outlineLevel="0" collapsed="false">
      <c r="A605" s="26"/>
      <c r="D605" s="31"/>
    </row>
    <row r="606" customFormat="false" ht="15" hidden="false" customHeight="true" outlineLevel="0" collapsed="false">
      <c r="A606" s="26"/>
      <c r="D606" s="31"/>
    </row>
    <row r="607" customFormat="false" ht="15" hidden="false" customHeight="true" outlineLevel="0" collapsed="false">
      <c r="A607" s="26"/>
      <c r="D607" s="31"/>
    </row>
    <row r="608" customFormat="false" ht="15" hidden="false" customHeight="true" outlineLevel="0" collapsed="false">
      <c r="A608" s="26"/>
      <c r="D608" s="31"/>
    </row>
    <row r="609" customFormat="false" ht="15" hidden="false" customHeight="true" outlineLevel="0" collapsed="false">
      <c r="A609" s="26"/>
      <c r="D609" s="31"/>
    </row>
    <row r="610" customFormat="false" ht="15" hidden="false" customHeight="true" outlineLevel="0" collapsed="false">
      <c r="A610" s="26"/>
      <c r="D610" s="31"/>
    </row>
    <row r="611" customFormat="false" ht="15" hidden="false" customHeight="true" outlineLevel="0" collapsed="false">
      <c r="A611" s="26"/>
      <c r="D611" s="31"/>
    </row>
    <row r="612" customFormat="false" ht="15" hidden="false" customHeight="true" outlineLevel="0" collapsed="false">
      <c r="A612" s="26"/>
      <c r="D612" s="31"/>
    </row>
    <row r="613" customFormat="false" ht="15" hidden="false" customHeight="true" outlineLevel="0" collapsed="false">
      <c r="A613" s="26"/>
      <c r="D613" s="31"/>
    </row>
    <row r="614" customFormat="false" ht="15" hidden="false" customHeight="true" outlineLevel="0" collapsed="false">
      <c r="A614" s="26"/>
      <c r="D614" s="31"/>
    </row>
    <row r="615" customFormat="false" ht="15" hidden="false" customHeight="true" outlineLevel="0" collapsed="false">
      <c r="A615" s="26"/>
      <c r="D615" s="31"/>
    </row>
    <row r="616" customFormat="false" ht="15" hidden="false" customHeight="true" outlineLevel="0" collapsed="false">
      <c r="A616" s="26"/>
      <c r="D616" s="31"/>
    </row>
    <row r="617" customFormat="false" ht="15" hidden="false" customHeight="true" outlineLevel="0" collapsed="false">
      <c r="A617" s="26"/>
      <c r="D617" s="31"/>
    </row>
    <row r="618" customFormat="false" ht="15" hidden="false" customHeight="true" outlineLevel="0" collapsed="false">
      <c r="A618" s="26"/>
      <c r="D618" s="31"/>
    </row>
    <row r="619" customFormat="false" ht="15" hidden="false" customHeight="true" outlineLevel="0" collapsed="false">
      <c r="A619" s="26"/>
      <c r="D619" s="31"/>
    </row>
    <row r="620" customFormat="false" ht="15" hidden="false" customHeight="true" outlineLevel="0" collapsed="false">
      <c r="A620" s="26"/>
      <c r="D620" s="31"/>
    </row>
    <row r="621" customFormat="false" ht="15" hidden="false" customHeight="true" outlineLevel="0" collapsed="false">
      <c r="A621" s="26"/>
      <c r="D621" s="31"/>
    </row>
    <row r="622" customFormat="false" ht="15" hidden="false" customHeight="true" outlineLevel="0" collapsed="false">
      <c r="A622" s="26"/>
      <c r="D622" s="31"/>
    </row>
    <row r="623" customFormat="false" ht="15" hidden="false" customHeight="true" outlineLevel="0" collapsed="false">
      <c r="A623" s="26"/>
      <c r="D623" s="31"/>
    </row>
    <row r="624" customFormat="false" ht="15" hidden="false" customHeight="true" outlineLevel="0" collapsed="false">
      <c r="A624" s="26"/>
      <c r="D624" s="31"/>
    </row>
    <row r="625" customFormat="false" ht="15" hidden="false" customHeight="true" outlineLevel="0" collapsed="false">
      <c r="A625" s="26"/>
      <c r="D625" s="31"/>
    </row>
    <row r="626" customFormat="false" ht="15" hidden="false" customHeight="true" outlineLevel="0" collapsed="false">
      <c r="A626" s="26"/>
      <c r="D626" s="31"/>
    </row>
    <row r="627" customFormat="false" ht="15" hidden="false" customHeight="true" outlineLevel="0" collapsed="false">
      <c r="A627" s="26"/>
      <c r="D627" s="31"/>
    </row>
    <row r="628" customFormat="false" ht="15" hidden="false" customHeight="true" outlineLevel="0" collapsed="false">
      <c r="A628" s="26"/>
      <c r="D628" s="31"/>
    </row>
    <row r="629" customFormat="false" ht="15" hidden="false" customHeight="true" outlineLevel="0" collapsed="false">
      <c r="A629" s="26"/>
      <c r="D629" s="31"/>
    </row>
    <row r="630" customFormat="false" ht="15" hidden="false" customHeight="true" outlineLevel="0" collapsed="false">
      <c r="A630" s="26"/>
      <c r="D630" s="31"/>
    </row>
    <row r="631" customFormat="false" ht="15" hidden="false" customHeight="true" outlineLevel="0" collapsed="false">
      <c r="A631" s="26"/>
      <c r="D631" s="31"/>
    </row>
    <row r="632" customFormat="false" ht="15" hidden="false" customHeight="true" outlineLevel="0" collapsed="false">
      <c r="A632" s="26"/>
      <c r="D632" s="31"/>
    </row>
    <row r="633" customFormat="false" ht="15" hidden="false" customHeight="true" outlineLevel="0" collapsed="false">
      <c r="A633" s="26"/>
      <c r="D633" s="31"/>
    </row>
    <row r="634" customFormat="false" ht="15" hidden="false" customHeight="true" outlineLevel="0" collapsed="false">
      <c r="A634" s="26"/>
      <c r="D634" s="31"/>
    </row>
    <row r="635" customFormat="false" ht="15" hidden="false" customHeight="true" outlineLevel="0" collapsed="false">
      <c r="A635" s="26"/>
      <c r="D635" s="31"/>
    </row>
    <row r="636" customFormat="false" ht="15" hidden="false" customHeight="true" outlineLevel="0" collapsed="false">
      <c r="A636" s="26"/>
      <c r="D636" s="31"/>
    </row>
    <row r="637" customFormat="false" ht="15" hidden="false" customHeight="true" outlineLevel="0" collapsed="false">
      <c r="A637" s="26"/>
      <c r="D637" s="31"/>
    </row>
    <row r="638" customFormat="false" ht="15" hidden="false" customHeight="true" outlineLevel="0" collapsed="false">
      <c r="A638" s="26"/>
      <c r="D638" s="31"/>
    </row>
    <row r="639" customFormat="false" ht="15" hidden="false" customHeight="true" outlineLevel="0" collapsed="false">
      <c r="A639" s="26"/>
      <c r="D639" s="31"/>
    </row>
    <row r="640" customFormat="false" ht="15" hidden="false" customHeight="true" outlineLevel="0" collapsed="false">
      <c r="A640" s="26"/>
      <c r="D640" s="31"/>
    </row>
    <row r="641" customFormat="false" ht="15" hidden="false" customHeight="true" outlineLevel="0" collapsed="false">
      <c r="A641" s="26"/>
      <c r="D641" s="31"/>
    </row>
    <row r="642" customFormat="false" ht="15" hidden="false" customHeight="true" outlineLevel="0" collapsed="false">
      <c r="A642" s="26"/>
      <c r="D642" s="31"/>
    </row>
    <row r="643" customFormat="false" ht="15" hidden="false" customHeight="true" outlineLevel="0" collapsed="false">
      <c r="A643" s="26"/>
      <c r="D643" s="31"/>
    </row>
    <row r="644" customFormat="false" ht="15" hidden="false" customHeight="true" outlineLevel="0" collapsed="false">
      <c r="A644" s="26"/>
      <c r="D644" s="31"/>
    </row>
    <row r="645" customFormat="false" ht="15" hidden="false" customHeight="true" outlineLevel="0" collapsed="false">
      <c r="A645" s="26"/>
      <c r="D645" s="31"/>
    </row>
    <row r="646" customFormat="false" ht="15" hidden="false" customHeight="true" outlineLevel="0" collapsed="false">
      <c r="A646" s="26"/>
      <c r="D646" s="31"/>
    </row>
    <row r="647" customFormat="false" ht="15" hidden="false" customHeight="true" outlineLevel="0" collapsed="false">
      <c r="A647" s="26"/>
      <c r="D647" s="31"/>
    </row>
    <row r="648" customFormat="false" ht="15" hidden="false" customHeight="true" outlineLevel="0" collapsed="false">
      <c r="A648" s="26"/>
      <c r="D648" s="31"/>
    </row>
    <row r="649" customFormat="false" ht="15" hidden="false" customHeight="true" outlineLevel="0" collapsed="false">
      <c r="A649" s="26"/>
      <c r="D649" s="31"/>
    </row>
    <row r="650" customFormat="false" ht="15" hidden="false" customHeight="true" outlineLevel="0" collapsed="false">
      <c r="A650" s="26"/>
      <c r="D650" s="31"/>
    </row>
    <row r="651" customFormat="false" ht="15" hidden="false" customHeight="true" outlineLevel="0" collapsed="false">
      <c r="A651" s="26"/>
      <c r="D651" s="31"/>
    </row>
    <row r="652" customFormat="false" ht="15" hidden="false" customHeight="true" outlineLevel="0" collapsed="false">
      <c r="A652" s="26"/>
      <c r="D652" s="31"/>
    </row>
    <row r="653" customFormat="false" ht="15" hidden="false" customHeight="true" outlineLevel="0" collapsed="false">
      <c r="A653" s="26"/>
      <c r="D653" s="31"/>
    </row>
    <row r="654" customFormat="false" ht="15" hidden="false" customHeight="true" outlineLevel="0" collapsed="false">
      <c r="A654" s="26"/>
      <c r="D654" s="31"/>
    </row>
    <row r="655" customFormat="false" ht="15" hidden="false" customHeight="true" outlineLevel="0" collapsed="false">
      <c r="A655" s="26"/>
      <c r="D655" s="31"/>
    </row>
    <row r="656" customFormat="false" ht="15" hidden="false" customHeight="true" outlineLevel="0" collapsed="false">
      <c r="A656" s="26"/>
      <c r="D656" s="31"/>
    </row>
    <row r="657" customFormat="false" ht="15" hidden="false" customHeight="true" outlineLevel="0" collapsed="false">
      <c r="A657" s="26"/>
      <c r="D657" s="31"/>
    </row>
    <row r="658" customFormat="false" ht="15" hidden="false" customHeight="true" outlineLevel="0" collapsed="false">
      <c r="A658" s="26"/>
      <c r="D658" s="31"/>
    </row>
    <row r="659" customFormat="false" ht="15" hidden="false" customHeight="true" outlineLevel="0" collapsed="false">
      <c r="A659" s="26"/>
      <c r="D659" s="31"/>
    </row>
    <row r="660" customFormat="false" ht="15" hidden="false" customHeight="true" outlineLevel="0" collapsed="false">
      <c r="A660" s="26"/>
      <c r="D660" s="31"/>
    </row>
    <row r="661" customFormat="false" ht="15" hidden="false" customHeight="true" outlineLevel="0" collapsed="false">
      <c r="A661" s="26"/>
      <c r="D661" s="31"/>
    </row>
    <row r="662" customFormat="false" ht="15" hidden="false" customHeight="true" outlineLevel="0" collapsed="false">
      <c r="A662" s="26"/>
      <c r="D662" s="31"/>
    </row>
    <row r="663" customFormat="false" ht="15" hidden="false" customHeight="true" outlineLevel="0" collapsed="false">
      <c r="A663" s="26"/>
      <c r="D663" s="31"/>
    </row>
    <row r="664" customFormat="false" ht="15" hidden="false" customHeight="true" outlineLevel="0" collapsed="false">
      <c r="A664" s="26"/>
      <c r="D664" s="31"/>
    </row>
    <row r="665" customFormat="false" ht="15" hidden="false" customHeight="true" outlineLevel="0" collapsed="false">
      <c r="A665" s="26"/>
      <c r="D665" s="31"/>
    </row>
    <row r="666" customFormat="false" ht="15" hidden="false" customHeight="true" outlineLevel="0" collapsed="false">
      <c r="A666" s="26"/>
      <c r="D666" s="31"/>
    </row>
    <row r="667" customFormat="false" ht="15" hidden="false" customHeight="true" outlineLevel="0" collapsed="false">
      <c r="A667" s="26"/>
      <c r="D667" s="31"/>
    </row>
    <row r="668" customFormat="false" ht="15" hidden="false" customHeight="true" outlineLevel="0" collapsed="false">
      <c r="A668" s="26"/>
      <c r="D668" s="31"/>
    </row>
    <row r="669" customFormat="false" ht="15" hidden="false" customHeight="true" outlineLevel="0" collapsed="false">
      <c r="A669" s="26"/>
      <c r="D669" s="31"/>
    </row>
    <row r="670" customFormat="false" ht="15" hidden="false" customHeight="true" outlineLevel="0" collapsed="false">
      <c r="A670" s="26"/>
      <c r="D670" s="31"/>
    </row>
    <row r="671" customFormat="false" ht="15" hidden="false" customHeight="true" outlineLevel="0" collapsed="false">
      <c r="A671" s="26"/>
      <c r="D671" s="31"/>
    </row>
    <row r="672" customFormat="false" ht="15" hidden="false" customHeight="true" outlineLevel="0" collapsed="false">
      <c r="A672" s="26"/>
      <c r="D672" s="31"/>
    </row>
    <row r="673" customFormat="false" ht="15" hidden="false" customHeight="true" outlineLevel="0" collapsed="false">
      <c r="A673" s="26"/>
      <c r="D673" s="31"/>
    </row>
    <row r="674" customFormat="false" ht="15" hidden="false" customHeight="true" outlineLevel="0" collapsed="false">
      <c r="A674" s="26"/>
      <c r="D674" s="31"/>
    </row>
    <row r="675" customFormat="false" ht="15" hidden="false" customHeight="true" outlineLevel="0" collapsed="false">
      <c r="A675" s="26"/>
      <c r="D675" s="31"/>
    </row>
    <row r="676" customFormat="false" ht="15" hidden="false" customHeight="true" outlineLevel="0" collapsed="false">
      <c r="A676" s="26"/>
      <c r="D676" s="31"/>
    </row>
    <row r="677" customFormat="false" ht="15" hidden="false" customHeight="true" outlineLevel="0" collapsed="false">
      <c r="A677" s="26"/>
      <c r="D677" s="31"/>
    </row>
    <row r="678" customFormat="false" ht="15" hidden="false" customHeight="true" outlineLevel="0" collapsed="false">
      <c r="A678" s="26"/>
      <c r="D678" s="31"/>
    </row>
    <row r="679" customFormat="false" ht="15" hidden="false" customHeight="true" outlineLevel="0" collapsed="false">
      <c r="A679" s="26"/>
      <c r="D679" s="31"/>
    </row>
    <row r="680" customFormat="false" ht="15" hidden="false" customHeight="true" outlineLevel="0" collapsed="false">
      <c r="A680" s="26"/>
      <c r="D680" s="31"/>
    </row>
    <row r="681" customFormat="false" ht="15" hidden="false" customHeight="true" outlineLevel="0" collapsed="false">
      <c r="A681" s="26"/>
      <c r="D681" s="31"/>
    </row>
    <row r="682" customFormat="false" ht="15" hidden="false" customHeight="true" outlineLevel="0" collapsed="false">
      <c r="A682" s="26"/>
      <c r="D682" s="31"/>
    </row>
    <row r="683" customFormat="false" ht="15" hidden="false" customHeight="true" outlineLevel="0" collapsed="false">
      <c r="A683" s="26"/>
      <c r="D683" s="31"/>
    </row>
    <row r="684" customFormat="false" ht="15" hidden="false" customHeight="true" outlineLevel="0" collapsed="false">
      <c r="A684" s="26"/>
      <c r="D684" s="31"/>
    </row>
    <row r="685" customFormat="false" ht="15" hidden="false" customHeight="true" outlineLevel="0" collapsed="false">
      <c r="A685" s="26"/>
      <c r="D685" s="31"/>
    </row>
    <row r="686" customFormat="false" ht="15" hidden="false" customHeight="true" outlineLevel="0" collapsed="false">
      <c r="A686" s="26"/>
      <c r="D686" s="31"/>
    </row>
    <row r="687" customFormat="false" ht="15" hidden="false" customHeight="true" outlineLevel="0" collapsed="false">
      <c r="A687" s="26"/>
      <c r="D687" s="31"/>
    </row>
    <row r="688" customFormat="false" ht="15" hidden="false" customHeight="true" outlineLevel="0" collapsed="false">
      <c r="A688" s="26"/>
      <c r="D688" s="31"/>
    </row>
    <row r="689" customFormat="false" ht="15" hidden="false" customHeight="true" outlineLevel="0" collapsed="false">
      <c r="A689" s="26"/>
      <c r="D689" s="31"/>
    </row>
    <row r="690" customFormat="false" ht="15" hidden="false" customHeight="true" outlineLevel="0" collapsed="false">
      <c r="A690" s="26"/>
      <c r="D690" s="31"/>
    </row>
    <row r="691" customFormat="false" ht="15" hidden="false" customHeight="true" outlineLevel="0" collapsed="false">
      <c r="A691" s="26"/>
      <c r="D691" s="31"/>
    </row>
    <row r="692" customFormat="false" ht="15" hidden="false" customHeight="true" outlineLevel="0" collapsed="false">
      <c r="A692" s="26"/>
      <c r="D692" s="31"/>
    </row>
    <row r="693" customFormat="false" ht="15" hidden="false" customHeight="true" outlineLevel="0" collapsed="false">
      <c r="A693" s="26"/>
      <c r="D693" s="31"/>
    </row>
    <row r="694" customFormat="false" ht="15" hidden="false" customHeight="true" outlineLevel="0" collapsed="false">
      <c r="A694" s="26"/>
      <c r="D694" s="31"/>
    </row>
    <row r="695" customFormat="false" ht="15" hidden="false" customHeight="true" outlineLevel="0" collapsed="false">
      <c r="A695" s="26"/>
      <c r="D695" s="31"/>
    </row>
    <row r="696" customFormat="false" ht="15" hidden="false" customHeight="true" outlineLevel="0" collapsed="false">
      <c r="A696" s="26"/>
      <c r="D696" s="31"/>
    </row>
    <row r="697" customFormat="false" ht="15" hidden="false" customHeight="true" outlineLevel="0" collapsed="false">
      <c r="A697" s="26"/>
      <c r="D697" s="31"/>
    </row>
    <row r="698" customFormat="false" ht="15" hidden="false" customHeight="true" outlineLevel="0" collapsed="false">
      <c r="A698" s="26"/>
      <c r="D698" s="31"/>
    </row>
    <row r="699" customFormat="false" ht="15" hidden="false" customHeight="true" outlineLevel="0" collapsed="false">
      <c r="A699" s="26"/>
      <c r="D699" s="31"/>
    </row>
    <row r="700" customFormat="false" ht="15" hidden="false" customHeight="true" outlineLevel="0" collapsed="false">
      <c r="A700" s="26"/>
      <c r="D700" s="31"/>
    </row>
    <row r="701" customFormat="false" ht="15" hidden="false" customHeight="true" outlineLevel="0" collapsed="false">
      <c r="A701" s="26"/>
      <c r="D701" s="31"/>
    </row>
    <row r="702" customFormat="false" ht="15" hidden="false" customHeight="true" outlineLevel="0" collapsed="false">
      <c r="A702" s="26"/>
      <c r="D702" s="31"/>
    </row>
    <row r="703" customFormat="false" ht="15" hidden="false" customHeight="true" outlineLevel="0" collapsed="false">
      <c r="A703" s="26"/>
      <c r="D703" s="31"/>
    </row>
    <row r="704" customFormat="false" ht="15" hidden="false" customHeight="true" outlineLevel="0" collapsed="false">
      <c r="A704" s="26"/>
      <c r="D704" s="31"/>
    </row>
    <row r="705" customFormat="false" ht="15" hidden="false" customHeight="true" outlineLevel="0" collapsed="false">
      <c r="A705" s="26"/>
      <c r="D705" s="31"/>
    </row>
    <row r="706" customFormat="false" ht="15" hidden="false" customHeight="true" outlineLevel="0" collapsed="false">
      <c r="A706" s="26"/>
      <c r="D706" s="31"/>
    </row>
    <row r="707" customFormat="false" ht="15" hidden="false" customHeight="true" outlineLevel="0" collapsed="false">
      <c r="A707" s="26"/>
      <c r="D707" s="31"/>
    </row>
    <row r="708" customFormat="false" ht="15" hidden="false" customHeight="true" outlineLevel="0" collapsed="false">
      <c r="A708" s="26"/>
      <c r="D708" s="31"/>
    </row>
    <row r="709" customFormat="false" ht="15" hidden="false" customHeight="true" outlineLevel="0" collapsed="false">
      <c r="A709" s="26"/>
      <c r="D709" s="31"/>
    </row>
    <row r="710" customFormat="false" ht="15" hidden="false" customHeight="true" outlineLevel="0" collapsed="false">
      <c r="A710" s="26"/>
      <c r="D710" s="31"/>
    </row>
    <row r="711" customFormat="false" ht="15" hidden="false" customHeight="true" outlineLevel="0" collapsed="false">
      <c r="A711" s="26"/>
      <c r="D711" s="31"/>
    </row>
    <row r="712" customFormat="false" ht="15" hidden="false" customHeight="true" outlineLevel="0" collapsed="false">
      <c r="A712" s="26"/>
      <c r="D712" s="31"/>
    </row>
    <row r="713" customFormat="false" ht="15" hidden="false" customHeight="true" outlineLevel="0" collapsed="false">
      <c r="A713" s="26"/>
      <c r="D713" s="31"/>
    </row>
    <row r="714" customFormat="false" ht="15" hidden="false" customHeight="true" outlineLevel="0" collapsed="false">
      <c r="A714" s="26"/>
      <c r="D714" s="31"/>
    </row>
    <row r="715" customFormat="false" ht="15" hidden="false" customHeight="true" outlineLevel="0" collapsed="false">
      <c r="A715" s="26"/>
      <c r="D715" s="31"/>
    </row>
    <row r="716" customFormat="false" ht="15" hidden="false" customHeight="true" outlineLevel="0" collapsed="false">
      <c r="A716" s="26"/>
      <c r="D716" s="31"/>
    </row>
    <row r="717" customFormat="false" ht="15" hidden="false" customHeight="true" outlineLevel="0" collapsed="false">
      <c r="A717" s="26"/>
      <c r="D717" s="31"/>
    </row>
    <row r="718" customFormat="false" ht="15" hidden="false" customHeight="true" outlineLevel="0" collapsed="false">
      <c r="A718" s="26"/>
      <c r="D718" s="31"/>
    </row>
    <row r="719" customFormat="false" ht="15" hidden="false" customHeight="true" outlineLevel="0" collapsed="false">
      <c r="A719" s="26"/>
      <c r="D719" s="31"/>
    </row>
    <row r="720" customFormat="false" ht="15" hidden="false" customHeight="true" outlineLevel="0" collapsed="false">
      <c r="A720" s="26"/>
      <c r="D720" s="31"/>
    </row>
    <row r="721" customFormat="false" ht="15" hidden="false" customHeight="true" outlineLevel="0" collapsed="false">
      <c r="A721" s="26"/>
      <c r="D721" s="31"/>
    </row>
    <row r="722" customFormat="false" ht="15" hidden="false" customHeight="true" outlineLevel="0" collapsed="false">
      <c r="A722" s="26"/>
      <c r="D722" s="31"/>
    </row>
    <row r="723" customFormat="false" ht="15" hidden="false" customHeight="true" outlineLevel="0" collapsed="false">
      <c r="A723" s="26"/>
      <c r="D723" s="31"/>
    </row>
    <row r="724" customFormat="false" ht="15" hidden="false" customHeight="true" outlineLevel="0" collapsed="false">
      <c r="A724" s="26"/>
      <c r="D724" s="31"/>
    </row>
    <row r="725" customFormat="false" ht="15" hidden="false" customHeight="true" outlineLevel="0" collapsed="false">
      <c r="A725" s="26"/>
      <c r="D725" s="31"/>
    </row>
    <row r="726" customFormat="false" ht="15" hidden="false" customHeight="true" outlineLevel="0" collapsed="false">
      <c r="A726" s="26"/>
      <c r="D726" s="31"/>
    </row>
    <row r="727" customFormat="false" ht="15" hidden="false" customHeight="true" outlineLevel="0" collapsed="false">
      <c r="A727" s="26"/>
      <c r="D727" s="31"/>
    </row>
    <row r="728" customFormat="false" ht="15" hidden="false" customHeight="true" outlineLevel="0" collapsed="false">
      <c r="A728" s="26"/>
      <c r="D728" s="31"/>
    </row>
    <row r="729" customFormat="false" ht="15" hidden="false" customHeight="true" outlineLevel="0" collapsed="false">
      <c r="A729" s="26"/>
      <c r="D729" s="31"/>
    </row>
    <row r="730" customFormat="false" ht="15" hidden="false" customHeight="true" outlineLevel="0" collapsed="false">
      <c r="A730" s="26"/>
      <c r="D730" s="31"/>
    </row>
    <row r="731" customFormat="false" ht="15" hidden="false" customHeight="true" outlineLevel="0" collapsed="false">
      <c r="A731" s="26"/>
      <c r="D731" s="31"/>
    </row>
    <row r="732" customFormat="false" ht="15" hidden="false" customHeight="true" outlineLevel="0" collapsed="false">
      <c r="A732" s="26"/>
      <c r="D732" s="31"/>
    </row>
    <row r="733" customFormat="false" ht="15" hidden="false" customHeight="true" outlineLevel="0" collapsed="false">
      <c r="A733" s="26"/>
      <c r="D733" s="31"/>
    </row>
    <row r="734" customFormat="false" ht="15" hidden="false" customHeight="true" outlineLevel="0" collapsed="false">
      <c r="A734" s="26"/>
      <c r="D734" s="31"/>
    </row>
    <row r="735" customFormat="false" ht="15" hidden="false" customHeight="true" outlineLevel="0" collapsed="false">
      <c r="A735" s="26"/>
      <c r="D735" s="31"/>
    </row>
    <row r="736" customFormat="false" ht="15" hidden="false" customHeight="true" outlineLevel="0" collapsed="false">
      <c r="A736" s="26"/>
      <c r="D736" s="31"/>
    </row>
    <row r="737" customFormat="false" ht="15" hidden="false" customHeight="true" outlineLevel="0" collapsed="false">
      <c r="A737" s="26"/>
      <c r="D737" s="31"/>
    </row>
    <row r="738" customFormat="false" ht="15" hidden="false" customHeight="true" outlineLevel="0" collapsed="false">
      <c r="A738" s="26"/>
      <c r="D738" s="31"/>
    </row>
    <row r="739" customFormat="false" ht="15" hidden="false" customHeight="true" outlineLevel="0" collapsed="false">
      <c r="A739" s="26"/>
      <c r="D739" s="31"/>
    </row>
    <row r="740" customFormat="false" ht="15" hidden="false" customHeight="true" outlineLevel="0" collapsed="false">
      <c r="A740" s="26"/>
      <c r="D740" s="31"/>
    </row>
    <row r="741" customFormat="false" ht="15" hidden="false" customHeight="true" outlineLevel="0" collapsed="false">
      <c r="A741" s="26"/>
      <c r="D741" s="31"/>
    </row>
    <row r="742" customFormat="false" ht="15" hidden="false" customHeight="true" outlineLevel="0" collapsed="false">
      <c r="A742" s="26"/>
      <c r="D742" s="31"/>
    </row>
    <row r="743" customFormat="false" ht="15" hidden="false" customHeight="true" outlineLevel="0" collapsed="false">
      <c r="A743" s="26"/>
      <c r="D743" s="31"/>
    </row>
    <row r="744" customFormat="false" ht="15" hidden="false" customHeight="true" outlineLevel="0" collapsed="false">
      <c r="A744" s="26"/>
      <c r="D744" s="31"/>
    </row>
    <row r="745" customFormat="false" ht="15" hidden="false" customHeight="true" outlineLevel="0" collapsed="false">
      <c r="A745" s="26"/>
      <c r="D745" s="31"/>
    </row>
    <row r="746" customFormat="false" ht="15" hidden="false" customHeight="true" outlineLevel="0" collapsed="false">
      <c r="A746" s="26"/>
      <c r="D746" s="31"/>
    </row>
    <row r="747" customFormat="false" ht="15" hidden="false" customHeight="true" outlineLevel="0" collapsed="false">
      <c r="A747" s="26"/>
      <c r="D747" s="31"/>
    </row>
    <row r="748" customFormat="false" ht="15" hidden="false" customHeight="true" outlineLevel="0" collapsed="false">
      <c r="A748" s="26"/>
      <c r="D748" s="31"/>
    </row>
    <row r="749" customFormat="false" ht="15" hidden="false" customHeight="true" outlineLevel="0" collapsed="false">
      <c r="A749" s="26"/>
      <c r="D749" s="31"/>
    </row>
    <row r="750" customFormat="false" ht="15" hidden="false" customHeight="true" outlineLevel="0" collapsed="false">
      <c r="A750" s="26"/>
      <c r="D750" s="31"/>
    </row>
    <row r="751" customFormat="false" ht="15" hidden="false" customHeight="true" outlineLevel="0" collapsed="false">
      <c r="A751" s="26"/>
      <c r="D751" s="31"/>
    </row>
    <row r="752" customFormat="false" ht="15" hidden="false" customHeight="true" outlineLevel="0" collapsed="false">
      <c r="A752" s="26"/>
      <c r="D752" s="31"/>
    </row>
    <row r="753" customFormat="false" ht="15" hidden="false" customHeight="true" outlineLevel="0" collapsed="false">
      <c r="A753" s="26"/>
      <c r="D753" s="31"/>
    </row>
    <row r="754" customFormat="false" ht="15" hidden="false" customHeight="true" outlineLevel="0" collapsed="false">
      <c r="A754" s="26"/>
      <c r="D754" s="31"/>
    </row>
    <row r="755" customFormat="false" ht="15" hidden="false" customHeight="true" outlineLevel="0" collapsed="false">
      <c r="A755" s="26"/>
      <c r="D755" s="31"/>
    </row>
    <row r="756" customFormat="false" ht="15" hidden="false" customHeight="true" outlineLevel="0" collapsed="false">
      <c r="A756" s="26"/>
      <c r="D756" s="31"/>
    </row>
    <row r="757" customFormat="false" ht="15" hidden="false" customHeight="true" outlineLevel="0" collapsed="false">
      <c r="A757" s="26"/>
      <c r="D757" s="31"/>
    </row>
    <row r="758" customFormat="false" ht="15" hidden="false" customHeight="true" outlineLevel="0" collapsed="false">
      <c r="A758" s="26"/>
      <c r="D758" s="31"/>
    </row>
    <row r="759" customFormat="false" ht="15" hidden="false" customHeight="true" outlineLevel="0" collapsed="false">
      <c r="A759" s="26"/>
      <c r="D759" s="31"/>
    </row>
    <row r="760" customFormat="false" ht="15" hidden="false" customHeight="true" outlineLevel="0" collapsed="false">
      <c r="A760" s="26"/>
      <c r="D760" s="31"/>
    </row>
    <row r="761" customFormat="false" ht="15" hidden="false" customHeight="true" outlineLevel="0" collapsed="false">
      <c r="A761" s="26"/>
      <c r="D761" s="31"/>
    </row>
    <row r="762" customFormat="false" ht="15" hidden="false" customHeight="true" outlineLevel="0" collapsed="false">
      <c r="A762" s="26"/>
      <c r="D762" s="31"/>
    </row>
    <row r="763" customFormat="false" ht="15" hidden="false" customHeight="true" outlineLevel="0" collapsed="false">
      <c r="A763" s="26"/>
      <c r="D763" s="31"/>
    </row>
    <row r="764" customFormat="false" ht="15" hidden="false" customHeight="true" outlineLevel="0" collapsed="false">
      <c r="A764" s="26"/>
      <c r="D764" s="31"/>
    </row>
    <row r="765" customFormat="false" ht="15" hidden="false" customHeight="true" outlineLevel="0" collapsed="false">
      <c r="A765" s="26"/>
      <c r="D765" s="31"/>
    </row>
    <row r="766" customFormat="false" ht="15" hidden="false" customHeight="true" outlineLevel="0" collapsed="false">
      <c r="A766" s="26"/>
      <c r="D766" s="31"/>
    </row>
    <row r="767" customFormat="false" ht="15" hidden="false" customHeight="true" outlineLevel="0" collapsed="false">
      <c r="A767" s="26"/>
      <c r="D767" s="31"/>
    </row>
    <row r="768" customFormat="false" ht="15" hidden="false" customHeight="true" outlineLevel="0" collapsed="false">
      <c r="A768" s="26"/>
      <c r="D768" s="31"/>
    </row>
    <row r="769" customFormat="false" ht="15" hidden="false" customHeight="true" outlineLevel="0" collapsed="false">
      <c r="A769" s="26"/>
      <c r="D769" s="31"/>
    </row>
    <row r="770" customFormat="false" ht="15" hidden="false" customHeight="true" outlineLevel="0" collapsed="false">
      <c r="A770" s="26"/>
      <c r="D770" s="31"/>
    </row>
    <row r="771" customFormat="false" ht="15" hidden="false" customHeight="true" outlineLevel="0" collapsed="false">
      <c r="A771" s="26"/>
      <c r="D771" s="31"/>
    </row>
    <row r="772" customFormat="false" ht="15" hidden="false" customHeight="true" outlineLevel="0" collapsed="false">
      <c r="A772" s="26"/>
      <c r="D772" s="31"/>
    </row>
    <row r="773" customFormat="false" ht="15" hidden="false" customHeight="true" outlineLevel="0" collapsed="false">
      <c r="A773" s="26"/>
      <c r="D773" s="31"/>
    </row>
    <row r="774" customFormat="false" ht="15" hidden="false" customHeight="true" outlineLevel="0" collapsed="false">
      <c r="A774" s="26"/>
      <c r="D774" s="31"/>
    </row>
    <row r="775" customFormat="false" ht="15" hidden="false" customHeight="true" outlineLevel="0" collapsed="false">
      <c r="A775" s="26"/>
      <c r="D775" s="31"/>
    </row>
    <row r="776" customFormat="false" ht="15" hidden="false" customHeight="true" outlineLevel="0" collapsed="false">
      <c r="A776" s="26"/>
      <c r="D776" s="31"/>
    </row>
    <row r="777" customFormat="false" ht="15" hidden="false" customHeight="true" outlineLevel="0" collapsed="false">
      <c r="A777" s="26"/>
      <c r="D777" s="31"/>
    </row>
    <row r="778" customFormat="false" ht="15" hidden="false" customHeight="true" outlineLevel="0" collapsed="false">
      <c r="A778" s="26"/>
      <c r="D778" s="31"/>
    </row>
    <row r="779" customFormat="false" ht="15" hidden="false" customHeight="true" outlineLevel="0" collapsed="false">
      <c r="A779" s="26"/>
      <c r="D779" s="31"/>
    </row>
    <row r="780" customFormat="false" ht="15" hidden="false" customHeight="true" outlineLevel="0" collapsed="false">
      <c r="A780" s="26"/>
      <c r="D780" s="31"/>
    </row>
    <row r="781" customFormat="false" ht="15" hidden="false" customHeight="true" outlineLevel="0" collapsed="false">
      <c r="A781" s="26"/>
      <c r="D781" s="31"/>
    </row>
    <row r="782" customFormat="false" ht="15" hidden="false" customHeight="true" outlineLevel="0" collapsed="false">
      <c r="A782" s="26"/>
      <c r="D782" s="31"/>
    </row>
    <row r="783" customFormat="false" ht="15" hidden="false" customHeight="true" outlineLevel="0" collapsed="false">
      <c r="A783" s="26"/>
      <c r="D783" s="31"/>
    </row>
    <row r="784" customFormat="false" ht="15" hidden="false" customHeight="true" outlineLevel="0" collapsed="false">
      <c r="A784" s="26"/>
      <c r="D784" s="31"/>
    </row>
    <row r="785" customFormat="false" ht="15" hidden="false" customHeight="true" outlineLevel="0" collapsed="false">
      <c r="A785" s="26"/>
      <c r="D785" s="31"/>
    </row>
    <row r="786" customFormat="false" ht="15" hidden="false" customHeight="true" outlineLevel="0" collapsed="false">
      <c r="A786" s="26"/>
      <c r="D786" s="31"/>
    </row>
    <row r="787" customFormat="false" ht="15" hidden="false" customHeight="true" outlineLevel="0" collapsed="false">
      <c r="A787" s="26"/>
      <c r="D787" s="31"/>
    </row>
    <row r="788" customFormat="false" ht="15" hidden="false" customHeight="true" outlineLevel="0" collapsed="false">
      <c r="A788" s="26"/>
      <c r="D788" s="31"/>
    </row>
    <row r="789" customFormat="false" ht="15" hidden="false" customHeight="true" outlineLevel="0" collapsed="false">
      <c r="A789" s="26"/>
      <c r="D789" s="31"/>
    </row>
    <row r="790" customFormat="false" ht="15" hidden="false" customHeight="true" outlineLevel="0" collapsed="false">
      <c r="A790" s="26"/>
      <c r="D790" s="31"/>
    </row>
    <row r="791" customFormat="false" ht="15" hidden="false" customHeight="true" outlineLevel="0" collapsed="false">
      <c r="A791" s="26"/>
      <c r="D791" s="31"/>
    </row>
    <row r="792" customFormat="false" ht="15" hidden="false" customHeight="true" outlineLevel="0" collapsed="false">
      <c r="A792" s="26"/>
      <c r="D792" s="31"/>
    </row>
    <row r="793" customFormat="false" ht="15" hidden="false" customHeight="true" outlineLevel="0" collapsed="false">
      <c r="A793" s="26"/>
      <c r="D793" s="31"/>
    </row>
    <row r="794" customFormat="false" ht="15" hidden="false" customHeight="true" outlineLevel="0" collapsed="false">
      <c r="A794" s="26"/>
      <c r="D794" s="31"/>
    </row>
    <row r="795" customFormat="false" ht="15" hidden="false" customHeight="true" outlineLevel="0" collapsed="false">
      <c r="A795" s="26"/>
      <c r="D795" s="31"/>
    </row>
    <row r="796" customFormat="false" ht="15" hidden="false" customHeight="true" outlineLevel="0" collapsed="false">
      <c r="A796" s="26"/>
      <c r="D796" s="31"/>
    </row>
    <row r="797" customFormat="false" ht="15" hidden="false" customHeight="true" outlineLevel="0" collapsed="false">
      <c r="A797" s="26"/>
      <c r="D797" s="31"/>
    </row>
    <row r="798" customFormat="false" ht="15" hidden="false" customHeight="true" outlineLevel="0" collapsed="false">
      <c r="A798" s="26"/>
      <c r="D798" s="31"/>
    </row>
    <row r="799" customFormat="false" ht="15" hidden="false" customHeight="true" outlineLevel="0" collapsed="false">
      <c r="A799" s="26"/>
      <c r="D799" s="31"/>
    </row>
    <row r="800" customFormat="false" ht="15" hidden="false" customHeight="true" outlineLevel="0" collapsed="false">
      <c r="A800" s="26"/>
      <c r="D800" s="31"/>
    </row>
    <row r="801" customFormat="false" ht="15" hidden="false" customHeight="true" outlineLevel="0" collapsed="false">
      <c r="A801" s="26"/>
      <c r="D801" s="31"/>
    </row>
    <row r="802" customFormat="false" ht="15" hidden="false" customHeight="true" outlineLevel="0" collapsed="false">
      <c r="A802" s="26"/>
      <c r="D802" s="31"/>
    </row>
    <row r="803" customFormat="false" ht="15" hidden="false" customHeight="true" outlineLevel="0" collapsed="false">
      <c r="A803" s="26"/>
      <c r="D803" s="31"/>
    </row>
    <row r="804" customFormat="false" ht="15" hidden="false" customHeight="true" outlineLevel="0" collapsed="false">
      <c r="A804" s="26"/>
      <c r="D804" s="31"/>
    </row>
    <row r="805" customFormat="false" ht="15" hidden="false" customHeight="true" outlineLevel="0" collapsed="false">
      <c r="A805" s="26"/>
      <c r="D805" s="31"/>
    </row>
    <row r="806" customFormat="false" ht="15" hidden="false" customHeight="true" outlineLevel="0" collapsed="false">
      <c r="A806" s="26"/>
      <c r="D806" s="31"/>
    </row>
    <row r="807" customFormat="false" ht="15" hidden="false" customHeight="true" outlineLevel="0" collapsed="false">
      <c r="A807" s="26"/>
      <c r="D807" s="31"/>
    </row>
    <row r="808" customFormat="false" ht="15" hidden="false" customHeight="true" outlineLevel="0" collapsed="false">
      <c r="A808" s="26"/>
      <c r="D808" s="31"/>
    </row>
    <row r="809" customFormat="false" ht="15" hidden="false" customHeight="true" outlineLevel="0" collapsed="false">
      <c r="A809" s="26"/>
      <c r="D809" s="31"/>
    </row>
    <row r="810" customFormat="false" ht="15" hidden="false" customHeight="true" outlineLevel="0" collapsed="false">
      <c r="A810" s="26"/>
      <c r="D810" s="31"/>
    </row>
    <row r="811" customFormat="false" ht="15" hidden="false" customHeight="true" outlineLevel="0" collapsed="false">
      <c r="A811" s="26"/>
      <c r="D811" s="31"/>
    </row>
    <row r="812" customFormat="false" ht="15" hidden="false" customHeight="true" outlineLevel="0" collapsed="false">
      <c r="A812" s="26"/>
      <c r="D812" s="31"/>
    </row>
    <row r="813" customFormat="false" ht="15" hidden="false" customHeight="true" outlineLevel="0" collapsed="false">
      <c r="A813" s="26"/>
      <c r="D813" s="31"/>
    </row>
    <row r="814" customFormat="false" ht="15" hidden="false" customHeight="true" outlineLevel="0" collapsed="false">
      <c r="A814" s="26"/>
      <c r="D814" s="31"/>
    </row>
    <row r="815" customFormat="false" ht="15" hidden="false" customHeight="true" outlineLevel="0" collapsed="false">
      <c r="A815" s="26"/>
      <c r="D815" s="31"/>
    </row>
    <row r="816" customFormat="false" ht="15" hidden="false" customHeight="true" outlineLevel="0" collapsed="false">
      <c r="A816" s="26"/>
      <c r="D816" s="31"/>
    </row>
    <row r="817" customFormat="false" ht="15" hidden="false" customHeight="true" outlineLevel="0" collapsed="false">
      <c r="A817" s="26"/>
      <c r="D817" s="31"/>
    </row>
    <row r="818" customFormat="false" ht="15" hidden="false" customHeight="true" outlineLevel="0" collapsed="false">
      <c r="A818" s="26"/>
      <c r="D818" s="31"/>
    </row>
    <row r="819" customFormat="false" ht="15" hidden="false" customHeight="true" outlineLevel="0" collapsed="false">
      <c r="A819" s="26"/>
      <c r="D819" s="31"/>
    </row>
    <row r="820" customFormat="false" ht="15" hidden="false" customHeight="true" outlineLevel="0" collapsed="false">
      <c r="A820" s="26"/>
      <c r="D820" s="31"/>
    </row>
    <row r="821" customFormat="false" ht="15" hidden="false" customHeight="true" outlineLevel="0" collapsed="false">
      <c r="A821" s="26"/>
      <c r="D821" s="31"/>
    </row>
    <row r="822" customFormat="false" ht="15" hidden="false" customHeight="true" outlineLevel="0" collapsed="false">
      <c r="A822" s="26"/>
      <c r="D822" s="31"/>
    </row>
    <row r="823" customFormat="false" ht="15" hidden="false" customHeight="true" outlineLevel="0" collapsed="false">
      <c r="A823" s="26"/>
      <c r="D823" s="31"/>
    </row>
    <row r="824" customFormat="false" ht="15" hidden="false" customHeight="true" outlineLevel="0" collapsed="false">
      <c r="A824" s="26"/>
      <c r="D824" s="31"/>
    </row>
    <row r="825" customFormat="false" ht="15" hidden="false" customHeight="true" outlineLevel="0" collapsed="false">
      <c r="A825" s="26"/>
      <c r="D825" s="31"/>
    </row>
    <row r="826" customFormat="false" ht="15" hidden="false" customHeight="true" outlineLevel="0" collapsed="false">
      <c r="A826" s="26"/>
      <c r="D826" s="31"/>
    </row>
    <row r="827" customFormat="false" ht="15" hidden="false" customHeight="true" outlineLevel="0" collapsed="false">
      <c r="A827" s="26"/>
      <c r="D827" s="31"/>
    </row>
    <row r="828" customFormat="false" ht="15" hidden="false" customHeight="true" outlineLevel="0" collapsed="false">
      <c r="A828" s="26"/>
      <c r="D828" s="31"/>
    </row>
    <row r="829" customFormat="false" ht="15" hidden="false" customHeight="true" outlineLevel="0" collapsed="false">
      <c r="A829" s="26"/>
      <c r="D829" s="31"/>
    </row>
    <row r="830" customFormat="false" ht="15" hidden="false" customHeight="true" outlineLevel="0" collapsed="false">
      <c r="A830" s="26"/>
      <c r="D830" s="31"/>
    </row>
    <row r="831" customFormat="false" ht="15" hidden="false" customHeight="true" outlineLevel="0" collapsed="false">
      <c r="A831" s="26"/>
      <c r="D831" s="31"/>
    </row>
    <row r="832" customFormat="false" ht="15" hidden="false" customHeight="true" outlineLevel="0" collapsed="false">
      <c r="A832" s="26"/>
      <c r="D832" s="31"/>
    </row>
    <row r="833" customFormat="false" ht="15" hidden="false" customHeight="true" outlineLevel="0" collapsed="false">
      <c r="A833" s="26"/>
      <c r="D833" s="31"/>
    </row>
    <row r="834" customFormat="false" ht="15" hidden="false" customHeight="true" outlineLevel="0" collapsed="false">
      <c r="A834" s="26"/>
      <c r="D834" s="31"/>
    </row>
    <row r="835" customFormat="false" ht="15" hidden="false" customHeight="true" outlineLevel="0" collapsed="false">
      <c r="A835" s="26"/>
      <c r="D835" s="31"/>
    </row>
    <row r="836" customFormat="false" ht="15" hidden="false" customHeight="true" outlineLevel="0" collapsed="false">
      <c r="A836" s="26"/>
      <c r="D836" s="31"/>
    </row>
    <row r="837" customFormat="false" ht="15" hidden="false" customHeight="true" outlineLevel="0" collapsed="false">
      <c r="A837" s="26"/>
      <c r="D837" s="31"/>
    </row>
    <row r="838" customFormat="false" ht="15" hidden="false" customHeight="true" outlineLevel="0" collapsed="false">
      <c r="A838" s="26"/>
      <c r="D838" s="31"/>
    </row>
    <row r="839" customFormat="false" ht="15" hidden="false" customHeight="true" outlineLevel="0" collapsed="false">
      <c r="A839" s="26"/>
      <c r="D839" s="31"/>
    </row>
    <row r="840" customFormat="false" ht="15" hidden="false" customHeight="true" outlineLevel="0" collapsed="false">
      <c r="A840" s="26"/>
      <c r="D840" s="31"/>
    </row>
    <row r="841" customFormat="false" ht="15" hidden="false" customHeight="true" outlineLevel="0" collapsed="false">
      <c r="A841" s="26"/>
      <c r="D841" s="31"/>
    </row>
    <row r="842" customFormat="false" ht="15" hidden="false" customHeight="true" outlineLevel="0" collapsed="false">
      <c r="A842" s="26"/>
      <c r="D842" s="31"/>
    </row>
    <row r="843" customFormat="false" ht="15" hidden="false" customHeight="true" outlineLevel="0" collapsed="false">
      <c r="A843" s="26"/>
      <c r="D843" s="31"/>
    </row>
    <row r="844" customFormat="false" ht="15" hidden="false" customHeight="true" outlineLevel="0" collapsed="false">
      <c r="A844" s="26"/>
      <c r="D844" s="31"/>
    </row>
    <row r="845" customFormat="false" ht="15" hidden="false" customHeight="true" outlineLevel="0" collapsed="false">
      <c r="A845" s="26"/>
      <c r="D845" s="31"/>
    </row>
    <row r="846" customFormat="false" ht="15" hidden="false" customHeight="true" outlineLevel="0" collapsed="false">
      <c r="A846" s="26"/>
      <c r="D846" s="31"/>
    </row>
    <row r="847" customFormat="false" ht="15" hidden="false" customHeight="true" outlineLevel="0" collapsed="false">
      <c r="A847" s="26"/>
      <c r="D847" s="31"/>
    </row>
    <row r="848" customFormat="false" ht="15" hidden="false" customHeight="true" outlineLevel="0" collapsed="false">
      <c r="A848" s="26"/>
      <c r="D848" s="31"/>
    </row>
    <row r="849" customFormat="false" ht="15" hidden="false" customHeight="true" outlineLevel="0" collapsed="false">
      <c r="A849" s="26"/>
      <c r="D849" s="31"/>
    </row>
    <row r="850" customFormat="false" ht="15" hidden="false" customHeight="true" outlineLevel="0" collapsed="false">
      <c r="A850" s="26"/>
      <c r="D850" s="31"/>
    </row>
    <row r="851" customFormat="false" ht="15" hidden="false" customHeight="true" outlineLevel="0" collapsed="false">
      <c r="A851" s="26"/>
      <c r="D851" s="31"/>
    </row>
    <row r="852" customFormat="false" ht="15" hidden="false" customHeight="true" outlineLevel="0" collapsed="false">
      <c r="A852" s="26"/>
      <c r="D852" s="31"/>
    </row>
    <row r="853" customFormat="false" ht="15" hidden="false" customHeight="true" outlineLevel="0" collapsed="false">
      <c r="A853" s="26"/>
      <c r="D853" s="31"/>
    </row>
    <row r="854" customFormat="false" ht="15" hidden="false" customHeight="true" outlineLevel="0" collapsed="false">
      <c r="A854" s="26"/>
      <c r="D854" s="31"/>
    </row>
    <row r="855" customFormat="false" ht="15" hidden="false" customHeight="true" outlineLevel="0" collapsed="false">
      <c r="A855" s="26"/>
      <c r="D855" s="31"/>
    </row>
    <row r="856" customFormat="false" ht="15" hidden="false" customHeight="true" outlineLevel="0" collapsed="false">
      <c r="A856" s="26"/>
      <c r="D856" s="31"/>
    </row>
    <row r="857" customFormat="false" ht="15" hidden="false" customHeight="true" outlineLevel="0" collapsed="false">
      <c r="A857" s="26"/>
      <c r="D857" s="31"/>
    </row>
    <row r="858" customFormat="false" ht="15" hidden="false" customHeight="true" outlineLevel="0" collapsed="false">
      <c r="A858" s="26"/>
      <c r="D858" s="31"/>
    </row>
    <row r="859" customFormat="false" ht="15" hidden="false" customHeight="true" outlineLevel="0" collapsed="false">
      <c r="A859" s="26"/>
      <c r="D859" s="31"/>
    </row>
    <row r="860" customFormat="false" ht="15" hidden="false" customHeight="true" outlineLevel="0" collapsed="false">
      <c r="A860" s="26"/>
      <c r="D860" s="31"/>
    </row>
    <row r="861" customFormat="false" ht="15" hidden="false" customHeight="true" outlineLevel="0" collapsed="false">
      <c r="A861" s="26"/>
      <c r="D861" s="31"/>
    </row>
    <row r="862" customFormat="false" ht="15" hidden="false" customHeight="true" outlineLevel="0" collapsed="false">
      <c r="A862" s="26"/>
      <c r="D862" s="31"/>
    </row>
    <row r="863" customFormat="false" ht="15" hidden="false" customHeight="true" outlineLevel="0" collapsed="false">
      <c r="A863" s="26"/>
      <c r="D863" s="31"/>
    </row>
    <row r="864" customFormat="false" ht="15" hidden="false" customHeight="true" outlineLevel="0" collapsed="false">
      <c r="A864" s="26"/>
      <c r="D864" s="31"/>
    </row>
    <row r="865" customFormat="false" ht="15" hidden="false" customHeight="true" outlineLevel="0" collapsed="false">
      <c r="A865" s="26"/>
      <c r="D865" s="31"/>
    </row>
    <row r="866" customFormat="false" ht="15" hidden="false" customHeight="true" outlineLevel="0" collapsed="false">
      <c r="A866" s="26"/>
      <c r="D866" s="31"/>
    </row>
    <row r="867" customFormat="false" ht="15" hidden="false" customHeight="true" outlineLevel="0" collapsed="false">
      <c r="A867" s="26"/>
      <c r="D867" s="31"/>
    </row>
    <row r="868" customFormat="false" ht="15" hidden="false" customHeight="true" outlineLevel="0" collapsed="false">
      <c r="A868" s="26"/>
      <c r="D868" s="31"/>
    </row>
    <row r="869" customFormat="false" ht="15" hidden="false" customHeight="true" outlineLevel="0" collapsed="false">
      <c r="A869" s="26"/>
      <c r="D869" s="31"/>
    </row>
    <row r="870" customFormat="false" ht="15" hidden="false" customHeight="true" outlineLevel="0" collapsed="false">
      <c r="A870" s="26"/>
      <c r="D870" s="31"/>
    </row>
    <row r="871" customFormat="false" ht="15" hidden="false" customHeight="true" outlineLevel="0" collapsed="false">
      <c r="A871" s="26"/>
      <c r="D871" s="31"/>
    </row>
    <row r="872" customFormat="false" ht="15" hidden="false" customHeight="true" outlineLevel="0" collapsed="false">
      <c r="A872" s="26"/>
      <c r="D872" s="31"/>
    </row>
    <row r="873" customFormat="false" ht="15" hidden="false" customHeight="true" outlineLevel="0" collapsed="false">
      <c r="A873" s="26"/>
      <c r="D873" s="31"/>
    </row>
    <row r="874" customFormat="false" ht="15" hidden="false" customHeight="true" outlineLevel="0" collapsed="false">
      <c r="A874" s="26"/>
      <c r="D874" s="31"/>
    </row>
    <row r="875" customFormat="false" ht="15" hidden="false" customHeight="true" outlineLevel="0" collapsed="false">
      <c r="A875" s="26"/>
      <c r="D875" s="31"/>
    </row>
    <row r="876" customFormat="false" ht="15" hidden="false" customHeight="true" outlineLevel="0" collapsed="false">
      <c r="A876" s="26"/>
      <c r="D876" s="31"/>
    </row>
    <row r="877" customFormat="false" ht="15" hidden="false" customHeight="true" outlineLevel="0" collapsed="false">
      <c r="A877" s="26"/>
      <c r="D877" s="31"/>
    </row>
    <row r="878" customFormat="false" ht="15" hidden="false" customHeight="true" outlineLevel="0" collapsed="false">
      <c r="A878" s="26"/>
      <c r="D878" s="31"/>
    </row>
    <row r="879" customFormat="false" ht="15" hidden="false" customHeight="true" outlineLevel="0" collapsed="false">
      <c r="A879" s="26"/>
      <c r="D879" s="31"/>
    </row>
    <row r="880" customFormat="false" ht="15" hidden="false" customHeight="true" outlineLevel="0" collapsed="false">
      <c r="A880" s="26"/>
      <c r="D880" s="31"/>
    </row>
    <row r="881" customFormat="false" ht="15" hidden="false" customHeight="true" outlineLevel="0" collapsed="false">
      <c r="A881" s="26"/>
      <c r="D881" s="31"/>
    </row>
    <row r="882" customFormat="false" ht="15" hidden="false" customHeight="true" outlineLevel="0" collapsed="false">
      <c r="A882" s="26"/>
      <c r="D882" s="31"/>
    </row>
    <row r="883" customFormat="false" ht="15" hidden="false" customHeight="true" outlineLevel="0" collapsed="false">
      <c r="A883" s="26"/>
      <c r="D883" s="31"/>
    </row>
    <row r="884" customFormat="false" ht="15" hidden="false" customHeight="true" outlineLevel="0" collapsed="false">
      <c r="A884" s="26"/>
      <c r="D884" s="31"/>
    </row>
    <row r="885" customFormat="false" ht="15" hidden="false" customHeight="true" outlineLevel="0" collapsed="false">
      <c r="A885" s="26"/>
      <c r="D885" s="31"/>
    </row>
    <row r="886" customFormat="false" ht="15" hidden="false" customHeight="true" outlineLevel="0" collapsed="false">
      <c r="A886" s="26"/>
      <c r="D886" s="31"/>
    </row>
    <row r="887" customFormat="false" ht="15" hidden="false" customHeight="true" outlineLevel="0" collapsed="false">
      <c r="A887" s="26"/>
      <c r="D887" s="31"/>
    </row>
    <row r="888" customFormat="false" ht="15" hidden="false" customHeight="true" outlineLevel="0" collapsed="false">
      <c r="A888" s="26"/>
      <c r="D888" s="31"/>
    </row>
    <row r="889" customFormat="false" ht="15" hidden="false" customHeight="true" outlineLevel="0" collapsed="false">
      <c r="A889" s="26"/>
      <c r="D889" s="31"/>
    </row>
    <row r="890" customFormat="false" ht="15" hidden="false" customHeight="true" outlineLevel="0" collapsed="false">
      <c r="A890" s="26"/>
      <c r="D890" s="31"/>
    </row>
    <row r="891" customFormat="false" ht="15" hidden="false" customHeight="true" outlineLevel="0" collapsed="false">
      <c r="A891" s="26"/>
      <c r="D891" s="31"/>
    </row>
    <row r="892" customFormat="false" ht="15" hidden="false" customHeight="true" outlineLevel="0" collapsed="false">
      <c r="A892" s="26"/>
      <c r="D892" s="31"/>
    </row>
    <row r="893" customFormat="false" ht="15" hidden="false" customHeight="true" outlineLevel="0" collapsed="false">
      <c r="A893" s="26"/>
      <c r="D893" s="31"/>
    </row>
    <row r="894" customFormat="false" ht="15" hidden="false" customHeight="true" outlineLevel="0" collapsed="false">
      <c r="A894" s="26"/>
      <c r="D894" s="31"/>
    </row>
    <row r="895" customFormat="false" ht="15" hidden="false" customHeight="true" outlineLevel="0" collapsed="false">
      <c r="A895" s="26"/>
      <c r="D895" s="31"/>
    </row>
    <row r="896" customFormat="false" ht="15" hidden="false" customHeight="true" outlineLevel="0" collapsed="false">
      <c r="A896" s="26"/>
      <c r="D896" s="31"/>
    </row>
    <row r="897" customFormat="false" ht="15" hidden="false" customHeight="true" outlineLevel="0" collapsed="false">
      <c r="A897" s="26"/>
      <c r="D897" s="31"/>
    </row>
    <row r="898" customFormat="false" ht="15" hidden="false" customHeight="true" outlineLevel="0" collapsed="false">
      <c r="A898" s="26"/>
      <c r="D898" s="31"/>
    </row>
    <row r="899" customFormat="false" ht="15" hidden="false" customHeight="true" outlineLevel="0" collapsed="false">
      <c r="A899" s="26"/>
      <c r="D899" s="31"/>
    </row>
    <row r="900" customFormat="false" ht="15" hidden="false" customHeight="true" outlineLevel="0" collapsed="false">
      <c r="A900" s="26"/>
      <c r="D900" s="31"/>
    </row>
    <row r="901" customFormat="false" ht="15" hidden="false" customHeight="true" outlineLevel="0" collapsed="false">
      <c r="A901" s="26"/>
      <c r="D901" s="31"/>
    </row>
    <row r="902" customFormat="false" ht="15" hidden="false" customHeight="true" outlineLevel="0" collapsed="false">
      <c r="A902" s="26"/>
      <c r="D902" s="31"/>
    </row>
    <row r="903" customFormat="false" ht="15" hidden="false" customHeight="true" outlineLevel="0" collapsed="false">
      <c r="A903" s="26"/>
      <c r="D903" s="31"/>
    </row>
    <row r="904" customFormat="false" ht="15" hidden="false" customHeight="true" outlineLevel="0" collapsed="false">
      <c r="A904" s="26"/>
      <c r="D904" s="31"/>
    </row>
    <row r="905" customFormat="false" ht="15" hidden="false" customHeight="true" outlineLevel="0" collapsed="false">
      <c r="A905" s="26"/>
      <c r="D905" s="31"/>
    </row>
    <row r="906" customFormat="false" ht="15" hidden="false" customHeight="true" outlineLevel="0" collapsed="false">
      <c r="A906" s="26"/>
      <c r="D906" s="31"/>
    </row>
    <row r="907" customFormat="false" ht="15" hidden="false" customHeight="true" outlineLevel="0" collapsed="false">
      <c r="A907" s="26"/>
      <c r="D907" s="31"/>
    </row>
    <row r="908" customFormat="false" ht="15" hidden="false" customHeight="true" outlineLevel="0" collapsed="false">
      <c r="A908" s="26"/>
      <c r="D908" s="31"/>
    </row>
    <row r="909" customFormat="false" ht="15" hidden="false" customHeight="true" outlineLevel="0" collapsed="false">
      <c r="A909" s="26"/>
      <c r="D909" s="31"/>
    </row>
    <row r="910" customFormat="false" ht="15" hidden="false" customHeight="true" outlineLevel="0" collapsed="false">
      <c r="A910" s="26"/>
      <c r="D910" s="31"/>
    </row>
    <row r="911" customFormat="false" ht="15" hidden="false" customHeight="true" outlineLevel="0" collapsed="false">
      <c r="A911" s="26"/>
      <c r="D911" s="31"/>
    </row>
    <row r="912" customFormat="false" ht="15" hidden="false" customHeight="true" outlineLevel="0" collapsed="false">
      <c r="A912" s="26"/>
      <c r="D912" s="31"/>
    </row>
    <row r="913" customFormat="false" ht="15" hidden="false" customHeight="true" outlineLevel="0" collapsed="false">
      <c r="A913" s="26"/>
      <c r="D913" s="31"/>
    </row>
    <row r="914" customFormat="false" ht="15" hidden="false" customHeight="true" outlineLevel="0" collapsed="false">
      <c r="A914" s="26"/>
      <c r="D914" s="31"/>
    </row>
    <row r="915" customFormat="false" ht="15" hidden="false" customHeight="true" outlineLevel="0" collapsed="false">
      <c r="A915" s="26"/>
      <c r="D915" s="31"/>
    </row>
    <row r="916" customFormat="false" ht="15" hidden="false" customHeight="true" outlineLevel="0" collapsed="false">
      <c r="A916" s="26"/>
      <c r="D916" s="31"/>
    </row>
    <row r="917" customFormat="false" ht="15" hidden="false" customHeight="true" outlineLevel="0" collapsed="false">
      <c r="A917" s="26"/>
      <c r="D917" s="31"/>
    </row>
    <row r="918" customFormat="false" ht="15" hidden="false" customHeight="true" outlineLevel="0" collapsed="false">
      <c r="A918" s="26"/>
      <c r="D918" s="31"/>
    </row>
    <row r="919" customFormat="false" ht="15" hidden="false" customHeight="true" outlineLevel="0" collapsed="false">
      <c r="A919" s="26"/>
      <c r="D919" s="31"/>
    </row>
    <row r="920" customFormat="false" ht="15" hidden="false" customHeight="true" outlineLevel="0" collapsed="false">
      <c r="A920" s="26"/>
      <c r="D920" s="31"/>
    </row>
    <row r="921" customFormat="false" ht="15" hidden="false" customHeight="true" outlineLevel="0" collapsed="false">
      <c r="A921" s="26"/>
      <c r="D921" s="31"/>
    </row>
    <row r="922" customFormat="false" ht="15" hidden="false" customHeight="true" outlineLevel="0" collapsed="false">
      <c r="A922" s="26"/>
      <c r="D922" s="31"/>
    </row>
    <row r="923" customFormat="false" ht="15" hidden="false" customHeight="true" outlineLevel="0" collapsed="false">
      <c r="A923" s="26"/>
      <c r="D923" s="31"/>
    </row>
    <row r="924" customFormat="false" ht="15" hidden="false" customHeight="true" outlineLevel="0" collapsed="false">
      <c r="A924" s="26"/>
      <c r="D924" s="31"/>
    </row>
    <row r="925" customFormat="false" ht="15" hidden="false" customHeight="true" outlineLevel="0" collapsed="false">
      <c r="A925" s="26"/>
      <c r="D925" s="31"/>
    </row>
    <row r="926" customFormat="false" ht="15" hidden="false" customHeight="true" outlineLevel="0" collapsed="false">
      <c r="A926" s="26"/>
      <c r="D926" s="31"/>
    </row>
    <row r="927" customFormat="false" ht="15" hidden="false" customHeight="true" outlineLevel="0" collapsed="false">
      <c r="A927" s="26"/>
      <c r="D927" s="31"/>
    </row>
    <row r="928" customFormat="false" ht="15" hidden="false" customHeight="true" outlineLevel="0" collapsed="false">
      <c r="A928" s="26"/>
      <c r="D928" s="31"/>
    </row>
    <row r="929" customFormat="false" ht="15" hidden="false" customHeight="true" outlineLevel="0" collapsed="false">
      <c r="A929" s="26"/>
      <c r="D929" s="31"/>
    </row>
    <row r="930" customFormat="false" ht="15" hidden="false" customHeight="true" outlineLevel="0" collapsed="false">
      <c r="A930" s="26"/>
      <c r="D930" s="31"/>
    </row>
    <row r="931" customFormat="false" ht="15" hidden="false" customHeight="true" outlineLevel="0" collapsed="false">
      <c r="A931" s="26"/>
      <c r="D931" s="31"/>
    </row>
    <row r="932" customFormat="false" ht="15" hidden="false" customHeight="true" outlineLevel="0" collapsed="false">
      <c r="A932" s="26"/>
      <c r="D932" s="31"/>
    </row>
    <row r="933" customFormat="false" ht="15" hidden="false" customHeight="true" outlineLevel="0" collapsed="false">
      <c r="A933" s="26"/>
      <c r="D933" s="31"/>
    </row>
    <row r="934" customFormat="false" ht="15" hidden="false" customHeight="true" outlineLevel="0" collapsed="false">
      <c r="A934" s="26"/>
      <c r="D934" s="31"/>
    </row>
    <row r="935" customFormat="false" ht="15" hidden="false" customHeight="true" outlineLevel="0" collapsed="false">
      <c r="A935" s="26"/>
      <c r="D935" s="31"/>
    </row>
    <row r="936" customFormat="false" ht="15" hidden="false" customHeight="true" outlineLevel="0" collapsed="false">
      <c r="A936" s="26"/>
      <c r="D936" s="31"/>
    </row>
    <row r="937" customFormat="false" ht="15" hidden="false" customHeight="true" outlineLevel="0" collapsed="false">
      <c r="A937" s="26"/>
      <c r="D937" s="31"/>
    </row>
    <row r="938" customFormat="false" ht="15" hidden="false" customHeight="true" outlineLevel="0" collapsed="false">
      <c r="A938" s="26"/>
      <c r="D938" s="31"/>
    </row>
    <row r="939" customFormat="false" ht="15" hidden="false" customHeight="true" outlineLevel="0" collapsed="false">
      <c r="A939" s="26"/>
      <c r="D939" s="31"/>
    </row>
    <row r="940" customFormat="false" ht="15" hidden="false" customHeight="true" outlineLevel="0" collapsed="false">
      <c r="A940" s="26"/>
      <c r="D940" s="31"/>
    </row>
    <row r="941" customFormat="false" ht="15" hidden="false" customHeight="true" outlineLevel="0" collapsed="false">
      <c r="A941" s="26"/>
      <c r="D941" s="31"/>
    </row>
    <row r="942" customFormat="false" ht="15" hidden="false" customHeight="true" outlineLevel="0" collapsed="false">
      <c r="A942" s="26"/>
      <c r="D942" s="31"/>
    </row>
    <row r="943" customFormat="false" ht="15" hidden="false" customHeight="true" outlineLevel="0" collapsed="false">
      <c r="A943" s="26"/>
      <c r="D943" s="31"/>
    </row>
    <row r="944" customFormat="false" ht="15" hidden="false" customHeight="true" outlineLevel="0" collapsed="false">
      <c r="A944" s="26"/>
      <c r="D944" s="31"/>
    </row>
    <row r="945" customFormat="false" ht="15" hidden="false" customHeight="true" outlineLevel="0" collapsed="false">
      <c r="A945" s="26"/>
      <c r="D945" s="31"/>
    </row>
    <row r="946" customFormat="false" ht="15" hidden="false" customHeight="true" outlineLevel="0" collapsed="false">
      <c r="A946" s="26"/>
      <c r="D946" s="31"/>
    </row>
    <row r="947" customFormat="false" ht="15" hidden="false" customHeight="true" outlineLevel="0" collapsed="false">
      <c r="A947" s="26"/>
      <c r="D947" s="31"/>
    </row>
    <row r="948" customFormat="false" ht="15" hidden="false" customHeight="true" outlineLevel="0" collapsed="false">
      <c r="A948" s="26"/>
      <c r="D948" s="31"/>
    </row>
    <row r="949" customFormat="false" ht="15" hidden="false" customHeight="true" outlineLevel="0" collapsed="false">
      <c r="A949" s="26"/>
      <c r="D949" s="31"/>
    </row>
    <row r="950" customFormat="false" ht="15" hidden="false" customHeight="true" outlineLevel="0" collapsed="false">
      <c r="A950" s="26"/>
      <c r="D950" s="31"/>
    </row>
    <row r="951" customFormat="false" ht="15" hidden="false" customHeight="true" outlineLevel="0" collapsed="false">
      <c r="A951" s="26"/>
      <c r="D951" s="31"/>
    </row>
    <row r="952" customFormat="false" ht="15" hidden="false" customHeight="true" outlineLevel="0" collapsed="false">
      <c r="A952" s="26"/>
      <c r="D952" s="31"/>
    </row>
    <row r="953" customFormat="false" ht="15" hidden="false" customHeight="true" outlineLevel="0" collapsed="false">
      <c r="A953" s="26"/>
      <c r="D953" s="31"/>
    </row>
    <row r="954" customFormat="false" ht="15" hidden="false" customHeight="true" outlineLevel="0" collapsed="false">
      <c r="A954" s="26"/>
      <c r="D954" s="31"/>
    </row>
    <row r="955" customFormat="false" ht="15" hidden="false" customHeight="true" outlineLevel="0" collapsed="false">
      <c r="A955" s="26"/>
      <c r="D955" s="31"/>
    </row>
    <row r="956" customFormat="false" ht="15" hidden="false" customHeight="true" outlineLevel="0" collapsed="false">
      <c r="A956" s="26"/>
      <c r="D956" s="31"/>
    </row>
    <row r="957" customFormat="false" ht="15" hidden="false" customHeight="true" outlineLevel="0" collapsed="false">
      <c r="A957" s="26"/>
      <c r="D957" s="31"/>
    </row>
    <row r="958" customFormat="false" ht="15" hidden="false" customHeight="true" outlineLevel="0" collapsed="false">
      <c r="A958" s="26"/>
      <c r="D958" s="31"/>
    </row>
    <row r="959" customFormat="false" ht="15" hidden="false" customHeight="true" outlineLevel="0" collapsed="false">
      <c r="A959" s="26"/>
      <c r="D959" s="31"/>
    </row>
    <row r="960" customFormat="false" ht="15" hidden="false" customHeight="true" outlineLevel="0" collapsed="false">
      <c r="A960" s="26"/>
      <c r="D960" s="31"/>
    </row>
    <row r="961" customFormat="false" ht="15" hidden="false" customHeight="true" outlineLevel="0" collapsed="false">
      <c r="A961" s="26"/>
      <c r="D961" s="31"/>
    </row>
    <row r="962" customFormat="false" ht="15" hidden="false" customHeight="true" outlineLevel="0" collapsed="false">
      <c r="A962" s="26"/>
      <c r="D962" s="31"/>
    </row>
    <row r="963" customFormat="false" ht="15" hidden="false" customHeight="true" outlineLevel="0" collapsed="false">
      <c r="A963" s="26"/>
      <c r="D963" s="31"/>
    </row>
    <row r="964" customFormat="false" ht="15" hidden="false" customHeight="true" outlineLevel="0" collapsed="false">
      <c r="A964" s="26"/>
      <c r="D964" s="31"/>
    </row>
    <row r="965" customFormat="false" ht="15" hidden="false" customHeight="true" outlineLevel="0" collapsed="false">
      <c r="A965" s="26"/>
      <c r="D965" s="31"/>
    </row>
    <row r="966" customFormat="false" ht="15" hidden="false" customHeight="true" outlineLevel="0" collapsed="false">
      <c r="A966" s="26"/>
      <c r="D966" s="31"/>
    </row>
    <row r="967" customFormat="false" ht="15" hidden="false" customHeight="true" outlineLevel="0" collapsed="false">
      <c r="A967" s="26"/>
      <c r="D967" s="31"/>
    </row>
    <row r="968" customFormat="false" ht="15" hidden="false" customHeight="true" outlineLevel="0" collapsed="false">
      <c r="A968" s="26"/>
      <c r="D968" s="31"/>
    </row>
    <row r="969" customFormat="false" ht="15" hidden="false" customHeight="true" outlineLevel="0" collapsed="false">
      <c r="A969" s="26"/>
      <c r="D969" s="31"/>
    </row>
    <row r="970" customFormat="false" ht="15" hidden="false" customHeight="true" outlineLevel="0" collapsed="false">
      <c r="A970" s="26"/>
      <c r="D970" s="31"/>
    </row>
    <row r="971" customFormat="false" ht="15" hidden="false" customHeight="true" outlineLevel="0" collapsed="false">
      <c r="A971" s="26"/>
      <c r="D971" s="31"/>
    </row>
    <row r="972" customFormat="false" ht="15" hidden="false" customHeight="true" outlineLevel="0" collapsed="false">
      <c r="A972" s="26"/>
      <c r="D972" s="31"/>
    </row>
    <row r="973" customFormat="false" ht="15" hidden="false" customHeight="true" outlineLevel="0" collapsed="false">
      <c r="A973" s="26"/>
      <c r="D973" s="31"/>
    </row>
    <row r="974" customFormat="false" ht="15" hidden="false" customHeight="true" outlineLevel="0" collapsed="false">
      <c r="A974" s="26"/>
      <c r="D974" s="31"/>
    </row>
    <row r="975" customFormat="false" ht="15" hidden="false" customHeight="true" outlineLevel="0" collapsed="false">
      <c r="A975" s="26"/>
      <c r="D975" s="31"/>
    </row>
    <row r="976" customFormat="false" ht="15" hidden="false" customHeight="true" outlineLevel="0" collapsed="false">
      <c r="A976" s="26"/>
      <c r="D976" s="31"/>
    </row>
    <row r="977" customFormat="false" ht="15" hidden="false" customHeight="true" outlineLevel="0" collapsed="false">
      <c r="A977" s="26"/>
      <c r="D977" s="31"/>
    </row>
    <row r="978" customFormat="false" ht="15" hidden="false" customHeight="true" outlineLevel="0" collapsed="false">
      <c r="A978" s="26"/>
      <c r="D978" s="31"/>
    </row>
    <row r="979" customFormat="false" ht="15" hidden="false" customHeight="true" outlineLevel="0" collapsed="false">
      <c r="A979" s="26"/>
      <c r="D979" s="31"/>
    </row>
    <row r="980" customFormat="false" ht="15" hidden="false" customHeight="true" outlineLevel="0" collapsed="false">
      <c r="A980" s="26"/>
      <c r="D980" s="31"/>
    </row>
    <row r="981" customFormat="false" ht="15" hidden="false" customHeight="true" outlineLevel="0" collapsed="false">
      <c r="A981" s="26"/>
      <c r="D981" s="31"/>
    </row>
    <row r="982" customFormat="false" ht="15" hidden="false" customHeight="true" outlineLevel="0" collapsed="false">
      <c r="A982" s="26"/>
      <c r="D982" s="31"/>
    </row>
    <row r="983" customFormat="false" ht="15" hidden="false" customHeight="true" outlineLevel="0" collapsed="false">
      <c r="A983" s="26"/>
      <c r="D983" s="31"/>
    </row>
    <row r="984" customFormat="false" ht="15" hidden="false" customHeight="true" outlineLevel="0" collapsed="false">
      <c r="A984" s="26"/>
      <c r="D984" s="31"/>
    </row>
    <row r="985" customFormat="false" ht="15" hidden="false" customHeight="true" outlineLevel="0" collapsed="false">
      <c r="A985" s="26"/>
      <c r="D985" s="31"/>
    </row>
    <row r="986" customFormat="false" ht="15" hidden="false" customHeight="true" outlineLevel="0" collapsed="false">
      <c r="A986" s="26"/>
      <c r="D986" s="31"/>
    </row>
    <row r="987" customFormat="false" ht="15" hidden="false" customHeight="true" outlineLevel="0" collapsed="false">
      <c r="A987" s="26"/>
      <c r="D987" s="31"/>
    </row>
    <row r="988" customFormat="false" ht="15" hidden="false" customHeight="true" outlineLevel="0" collapsed="false">
      <c r="A988" s="26"/>
      <c r="D988" s="31"/>
    </row>
    <row r="989" customFormat="false" ht="15" hidden="false" customHeight="true" outlineLevel="0" collapsed="false">
      <c r="A989" s="26"/>
      <c r="D989" s="31"/>
    </row>
    <row r="990" customFormat="false" ht="15" hidden="false" customHeight="true" outlineLevel="0" collapsed="false">
      <c r="A990" s="26"/>
      <c r="D990" s="31"/>
    </row>
    <row r="991" customFormat="false" ht="15" hidden="false" customHeight="true" outlineLevel="0" collapsed="false">
      <c r="A991" s="26"/>
      <c r="D991" s="31"/>
    </row>
    <row r="992" customFormat="false" ht="15" hidden="false" customHeight="true" outlineLevel="0" collapsed="false">
      <c r="A992" s="26"/>
      <c r="D992" s="31"/>
    </row>
    <row r="993" customFormat="false" ht="15" hidden="false" customHeight="true" outlineLevel="0" collapsed="false">
      <c r="A993" s="26"/>
      <c r="D993" s="31"/>
    </row>
    <row r="994" customFormat="false" ht="15" hidden="false" customHeight="true" outlineLevel="0" collapsed="false">
      <c r="A994" s="26"/>
      <c r="D994" s="31"/>
    </row>
    <row r="995" customFormat="false" ht="15" hidden="false" customHeight="true" outlineLevel="0" collapsed="false">
      <c r="A995" s="26"/>
      <c r="D995" s="31"/>
    </row>
    <row r="996" customFormat="false" ht="15" hidden="false" customHeight="true" outlineLevel="0" collapsed="false">
      <c r="A996" s="26"/>
      <c r="D996" s="31"/>
    </row>
    <row r="997" customFormat="false" ht="15" hidden="false" customHeight="true" outlineLevel="0" collapsed="false">
      <c r="A997" s="26"/>
      <c r="D997" s="31"/>
    </row>
    <row r="998" customFormat="false" ht="15" hidden="false" customHeight="true" outlineLevel="0" collapsed="false">
      <c r="A998" s="26"/>
      <c r="D998" s="31"/>
    </row>
    <row r="999" customFormat="false" ht="15" hidden="false" customHeight="true" outlineLevel="0" collapsed="false">
      <c r="A999" s="26"/>
      <c r="D999" s="31"/>
    </row>
    <row r="1000" customFormat="false" ht="15" hidden="false" customHeight="true" outlineLevel="0" collapsed="false">
      <c r="A1000" s="26"/>
      <c r="D1000" s="31"/>
    </row>
    <row r="1001" customFormat="false" ht="15" hidden="false" customHeight="true" outlineLevel="0" collapsed="false">
      <c r="A1001" s="26"/>
      <c r="D1001" s="31"/>
    </row>
    <row r="1002" customFormat="false" ht="15" hidden="false" customHeight="true" outlineLevel="0" collapsed="false">
      <c r="A1002" s="26"/>
      <c r="D1002" s="31"/>
    </row>
    <row r="1003" customFormat="false" ht="15" hidden="false" customHeight="true" outlineLevel="0" collapsed="false">
      <c r="A1003" s="26"/>
      <c r="D1003" s="31"/>
    </row>
    <row r="1004" customFormat="false" ht="15" hidden="false" customHeight="true" outlineLevel="0" collapsed="false">
      <c r="A1004" s="26"/>
      <c r="D1004" s="31"/>
    </row>
    <row r="1005" customFormat="false" ht="15" hidden="false" customHeight="true" outlineLevel="0" collapsed="false">
      <c r="A1005" s="26"/>
      <c r="D1005" s="31"/>
    </row>
    <row r="1006" customFormat="false" ht="15" hidden="false" customHeight="true" outlineLevel="0" collapsed="false">
      <c r="A1006" s="26"/>
      <c r="D1006" s="31"/>
    </row>
    <row r="1007" customFormat="false" ht="15" hidden="false" customHeight="true" outlineLevel="0" collapsed="false">
      <c r="A1007" s="26"/>
      <c r="D1007" s="31"/>
    </row>
    <row r="1008" customFormat="false" ht="15" hidden="false" customHeight="true" outlineLevel="0" collapsed="false">
      <c r="A1008" s="26"/>
      <c r="D1008" s="31"/>
    </row>
    <row r="1009" customFormat="false" ht="15" hidden="false" customHeight="true" outlineLevel="0" collapsed="false">
      <c r="A1009" s="26"/>
      <c r="D1009" s="31"/>
    </row>
    <row r="1010" customFormat="false" ht="15" hidden="false" customHeight="true" outlineLevel="0" collapsed="false">
      <c r="A1010" s="26"/>
      <c r="D1010" s="31"/>
    </row>
    <row r="1011" customFormat="false" ht="15" hidden="false" customHeight="true" outlineLevel="0" collapsed="false">
      <c r="A1011" s="26"/>
      <c r="D1011" s="31"/>
    </row>
    <row r="1012" customFormat="false" ht="15" hidden="false" customHeight="true" outlineLevel="0" collapsed="false">
      <c r="A1012" s="26"/>
      <c r="D1012" s="31"/>
    </row>
    <row r="1013" customFormat="false" ht="15" hidden="false" customHeight="true" outlineLevel="0" collapsed="false">
      <c r="A1013" s="26"/>
      <c r="D1013" s="31"/>
    </row>
    <row r="1014" customFormat="false" ht="15" hidden="false" customHeight="true" outlineLevel="0" collapsed="false">
      <c r="A1014" s="26"/>
      <c r="D1014" s="31"/>
    </row>
    <row r="1015" customFormat="false" ht="15" hidden="false" customHeight="true" outlineLevel="0" collapsed="false">
      <c r="A1015" s="26"/>
      <c r="D1015" s="31"/>
    </row>
    <row r="1016" customFormat="false" ht="15" hidden="false" customHeight="true" outlineLevel="0" collapsed="false">
      <c r="A1016" s="26"/>
      <c r="D1016" s="31"/>
    </row>
    <row r="1017" customFormat="false" ht="15" hidden="false" customHeight="true" outlineLevel="0" collapsed="false">
      <c r="A1017" s="26"/>
      <c r="D1017" s="31"/>
    </row>
    <row r="1018" customFormat="false" ht="15" hidden="false" customHeight="true" outlineLevel="0" collapsed="false">
      <c r="A1018" s="26"/>
      <c r="D1018" s="31"/>
    </row>
    <row r="1019" customFormat="false" ht="15" hidden="false" customHeight="true" outlineLevel="0" collapsed="false">
      <c r="A1019" s="26"/>
      <c r="D1019" s="31"/>
    </row>
    <row r="1020" customFormat="false" ht="15" hidden="false" customHeight="true" outlineLevel="0" collapsed="false">
      <c r="A1020" s="26"/>
      <c r="D1020" s="31"/>
    </row>
    <row r="1021" customFormat="false" ht="15" hidden="false" customHeight="true" outlineLevel="0" collapsed="false">
      <c r="A1021" s="26"/>
      <c r="D1021" s="31"/>
    </row>
    <row r="1022" customFormat="false" ht="15" hidden="false" customHeight="true" outlineLevel="0" collapsed="false">
      <c r="A1022" s="26"/>
      <c r="D1022" s="31"/>
    </row>
    <row r="1023" customFormat="false" ht="15" hidden="false" customHeight="true" outlineLevel="0" collapsed="false">
      <c r="A1023" s="26"/>
      <c r="D1023" s="31"/>
    </row>
    <row r="1024" customFormat="false" ht="15" hidden="false" customHeight="true" outlineLevel="0" collapsed="false">
      <c r="A1024" s="26"/>
      <c r="D1024" s="31"/>
    </row>
    <row r="1025" customFormat="false" ht="15" hidden="false" customHeight="true" outlineLevel="0" collapsed="false">
      <c r="A1025" s="26"/>
      <c r="D1025" s="31"/>
    </row>
    <row r="1026" customFormat="false" ht="15" hidden="false" customHeight="true" outlineLevel="0" collapsed="false">
      <c r="A1026" s="26"/>
      <c r="D1026" s="31"/>
    </row>
    <row r="1027" customFormat="false" ht="15" hidden="false" customHeight="true" outlineLevel="0" collapsed="false">
      <c r="A1027" s="26"/>
      <c r="D1027" s="31"/>
    </row>
    <row r="1028" customFormat="false" ht="15" hidden="false" customHeight="true" outlineLevel="0" collapsed="false">
      <c r="A1028" s="26"/>
      <c r="D1028" s="31"/>
    </row>
    <row r="1029" customFormat="false" ht="15" hidden="false" customHeight="true" outlineLevel="0" collapsed="false">
      <c r="A1029" s="26"/>
      <c r="D1029" s="31"/>
    </row>
    <row r="1030" customFormat="false" ht="15" hidden="false" customHeight="true" outlineLevel="0" collapsed="false">
      <c r="A1030" s="26"/>
      <c r="D1030" s="31"/>
    </row>
    <row r="1031" customFormat="false" ht="15" hidden="false" customHeight="true" outlineLevel="0" collapsed="false">
      <c r="A1031" s="26"/>
      <c r="D1031" s="31"/>
    </row>
    <row r="1032" customFormat="false" ht="15" hidden="false" customHeight="true" outlineLevel="0" collapsed="false">
      <c r="A1032" s="26"/>
      <c r="D1032" s="31"/>
    </row>
    <row r="1033" customFormat="false" ht="15" hidden="false" customHeight="true" outlineLevel="0" collapsed="false">
      <c r="A1033" s="26"/>
      <c r="D1033" s="31"/>
    </row>
    <row r="1034" customFormat="false" ht="15" hidden="false" customHeight="true" outlineLevel="0" collapsed="false">
      <c r="A1034" s="26"/>
      <c r="D1034" s="31"/>
    </row>
    <row r="1035" customFormat="false" ht="15" hidden="false" customHeight="true" outlineLevel="0" collapsed="false">
      <c r="A1035" s="26"/>
      <c r="D1035" s="31"/>
    </row>
    <row r="1036" customFormat="false" ht="15" hidden="false" customHeight="true" outlineLevel="0" collapsed="false">
      <c r="A1036" s="26"/>
      <c r="D1036" s="31"/>
    </row>
  </sheetData>
  <autoFilter ref="A1:E36"/>
  <dataValidations count="1">
    <dataValidation allowBlank="true" errorStyle="stop" operator="between" showDropDown="false" showErrorMessage="false" showInputMessage="false" sqref="C2:C1036" type="list">
      <formula1>"Groceries,Alcohol/Beer,Eating Out,Other"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30"/>
  </cols>
  <sheetData>
    <row r="1" customFormat="false" ht="30" hidden="false" customHeight="true" outlineLevel="0" collapsed="false">
      <c r="A1" s="9" t="s">
        <v>38</v>
      </c>
      <c r="B1" s="9" t="s">
        <v>74</v>
      </c>
      <c r="C1" s="9" t="s">
        <v>81</v>
      </c>
      <c r="D1" s="9" t="s">
        <v>82</v>
      </c>
      <c r="E1" s="9" t="s">
        <v>83</v>
      </c>
      <c r="F1" s="9" t="s">
        <v>84</v>
      </c>
      <c r="G1" s="9" t="s">
        <v>85</v>
      </c>
      <c r="H1" s="9" t="s">
        <v>86</v>
      </c>
      <c r="I1" s="9" t="s">
        <v>87</v>
      </c>
      <c r="J1" s="9" t="s">
        <v>80</v>
      </c>
    </row>
    <row r="2" customFormat="false" ht="15" hidden="false" customHeight="true" outlineLevel="0" collapsed="false">
      <c r="A2" s="23"/>
      <c r="B2" s="24"/>
      <c r="C2" s="24"/>
      <c r="D2" s="30"/>
      <c r="E2" s="24"/>
      <c r="F2" s="25"/>
      <c r="G2" s="25"/>
      <c r="H2" s="32" t="str">
        <f aca="false">IF(OR(B2="",F2="",F2=0),"",D2/F2)</f>
        <v/>
      </c>
      <c r="I2" s="14" t="str">
        <f aca="false">IF(OR(B2="",G2="",G2=0),"",D2/G2*1000)</f>
        <v/>
      </c>
      <c r="J2" s="24"/>
    </row>
    <row r="3" customFormat="false" ht="15" hidden="false" customHeight="true" outlineLevel="0" collapsed="false">
      <c r="A3" s="23"/>
      <c r="B3" s="24"/>
      <c r="C3" s="24"/>
      <c r="D3" s="30"/>
      <c r="E3" s="24"/>
      <c r="F3" s="25"/>
      <c r="G3" s="25"/>
      <c r="H3" s="32" t="str">
        <f aca="false">IF(OR(B3="",F3="",F3=0),"",D3/F3)</f>
        <v/>
      </c>
      <c r="I3" s="14" t="str">
        <f aca="false">IF(OR(B3="",G3="",G3=0),"",D3/G3*1000)</f>
        <v/>
      </c>
      <c r="J3" s="24"/>
    </row>
    <row r="4" customFormat="false" ht="15" hidden="false" customHeight="true" outlineLevel="0" collapsed="false">
      <c r="A4" s="23"/>
      <c r="B4" s="24"/>
      <c r="C4" s="24"/>
      <c r="D4" s="30"/>
      <c r="E4" s="24"/>
      <c r="F4" s="25"/>
      <c r="G4" s="25"/>
      <c r="H4" s="32" t="str">
        <f aca="false">IF(OR(B4="",F4="",F4=0),"",D4/F4)</f>
        <v/>
      </c>
      <c r="I4" s="14" t="str">
        <f aca="false">IF(OR(B4="",G4="",G4=0),"",D4/G4*1000)</f>
        <v/>
      </c>
      <c r="J4" s="24"/>
    </row>
    <row r="5" customFormat="false" ht="15" hidden="false" customHeight="true" outlineLevel="0" collapsed="false">
      <c r="A5" s="23"/>
      <c r="B5" s="24"/>
      <c r="C5" s="24"/>
      <c r="D5" s="30"/>
      <c r="E5" s="24"/>
      <c r="F5" s="25"/>
      <c r="G5" s="25"/>
      <c r="H5" s="32" t="str">
        <f aca="false">IF(OR(B5="",F5="",F5=0),"",D5/F5)</f>
        <v/>
      </c>
      <c r="I5" s="14" t="str">
        <f aca="false">IF(OR(B5="",G5="",G5=0),"",D5/G5*1000)</f>
        <v/>
      </c>
      <c r="J5" s="24"/>
    </row>
    <row r="6" customFormat="false" ht="15" hidden="false" customHeight="true" outlineLevel="0" collapsed="false">
      <c r="A6" s="23"/>
      <c r="B6" s="24"/>
      <c r="C6" s="24"/>
      <c r="D6" s="30"/>
      <c r="E6" s="24"/>
      <c r="F6" s="25"/>
      <c r="G6" s="25"/>
      <c r="H6" s="32" t="str">
        <f aca="false">IF(OR(B6="",F6="",F6=0),"",D6/F6)</f>
        <v/>
      </c>
      <c r="I6" s="14" t="str">
        <f aca="false">IF(OR(B6="",G6="",G6=0),"",D6/G6*1000)</f>
        <v/>
      </c>
      <c r="J6" s="24"/>
    </row>
    <row r="7" customFormat="false" ht="15" hidden="false" customHeight="true" outlineLevel="0" collapsed="false">
      <c r="A7" s="23"/>
      <c r="B7" s="24"/>
      <c r="C7" s="24"/>
      <c r="D7" s="30"/>
      <c r="E7" s="24"/>
      <c r="F7" s="25"/>
      <c r="G7" s="25"/>
      <c r="H7" s="32" t="str">
        <f aca="false">IF(OR(B7="",F7="",F7=0),"",D7/F7)</f>
        <v/>
      </c>
      <c r="I7" s="14" t="str">
        <f aca="false">IF(OR(B7="",G7="",G7=0),"",D7/G7*1000)</f>
        <v/>
      </c>
      <c r="J7" s="24"/>
    </row>
    <row r="8" customFormat="false" ht="15" hidden="false" customHeight="true" outlineLevel="0" collapsed="false">
      <c r="A8" s="23"/>
      <c r="B8" s="24"/>
      <c r="C8" s="24"/>
      <c r="D8" s="30"/>
      <c r="E8" s="24"/>
      <c r="F8" s="25"/>
      <c r="G8" s="25"/>
      <c r="H8" s="32" t="str">
        <f aca="false">IF(OR(B8="",F8="",F8=0),"",D8/F8)</f>
        <v/>
      </c>
      <c r="I8" s="14" t="str">
        <f aca="false">IF(OR(B8="",G8="",G8=0),"",D8/G8*1000)</f>
        <v/>
      </c>
      <c r="J8" s="24"/>
    </row>
    <row r="9" customFormat="false" ht="15" hidden="false" customHeight="true" outlineLevel="0" collapsed="false">
      <c r="A9" s="23"/>
      <c r="B9" s="24"/>
      <c r="C9" s="24"/>
      <c r="D9" s="30"/>
      <c r="E9" s="24"/>
      <c r="F9" s="25"/>
      <c r="G9" s="25"/>
      <c r="H9" s="32" t="str">
        <f aca="false">IF(OR(B9="",F9="",F9=0),"",D9/F9)</f>
        <v/>
      </c>
      <c r="I9" s="14" t="str">
        <f aca="false">IF(OR(B9="",G9="",G9=0),"",D9/G9*1000)</f>
        <v/>
      </c>
      <c r="J9" s="24"/>
    </row>
    <row r="10" customFormat="false" ht="15" hidden="false" customHeight="true" outlineLevel="0" collapsed="false">
      <c r="A10" s="26"/>
      <c r="D10" s="31"/>
      <c r="F10" s="22"/>
      <c r="G10" s="22"/>
      <c r="H10" s="32" t="str">
        <f aca="false">IF(OR(B10="",F10="",F10=0),"",D10/F10)</f>
        <v/>
      </c>
      <c r="I10" s="14" t="str">
        <f aca="false">IF(OR(B10="",G10="",G10=0),"",D10/G10*1000)</f>
        <v/>
      </c>
    </row>
    <row r="11" customFormat="false" ht="15" hidden="false" customHeight="true" outlineLevel="0" collapsed="false">
      <c r="A11" s="26"/>
      <c r="D11" s="31"/>
      <c r="F11" s="22"/>
      <c r="G11" s="22"/>
      <c r="H11" s="32" t="str">
        <f aca="false">IF(OR(B11="",F11="",F11=0),"",D11/F11)</f>
        <v/>
      </c>
      <c r="I11" s="14" t="str">
        <f aca="false">IF(OR(B11="",G11="",G11=0),"",D11/G11*1000)</f>
        <v/>
      </c>
    </row>
    <row r="12" customFormat="false" ht="15" hidden="false" customHeight="true" outlineLevel="0" collapsed="false">
      <c r="A12" s="26"/>
      <c r="D12" s="31"/>
      <c r="F12" s="22"/>
      <c r="G12" s="22"/>
      <c r="H12" s="32" t="str">
        <f aca="false">IF(OR(B12="",F12="",F12=0),"",D12/F12)</f>
        <v/>
      </c>
      <c r="I12" s="14" t="str">
        <f aca="false">IF(OR(B12="",G12="",G12=0),"",D12/G12*1000)</f>
        <v/>
      </c>
    </row>
    <row r="13" customFormat="false" ht="15" hidden="false" customHeight="true" outlineLevel="0" collapsed="false">
      <c r="A13" s="26"/>
      <c r="D13" s="31"/>
      <c r="F13" s="22"/>
      <c r="G13" s="22"/>
      <c r="H13" s="32" t="str">
        <f aca="false">IF(OR(B13="",F13="",F13=0),"",D13/F13)</f>
        <v/>
      </c>
      <c r="I13" s="14" t="str">
        <f aca="false">IF(OR(B13="",G13="",G13=0),"",D13/G13*1000)</f>
        <v/>
      </c>
    </row>
    <row r="14" customFormat="false" ht="15" hidden="false" customHeight="true" outlineLevel="0" collapsed="false">
      <c r="A14" s="26"/>
      <c r="D14" s="31"/>
      <c r="F14" s="22"/>
      <c r="G14" s="22"/>
      <c r="H14" s="32" t="str">
        <f aca="false">IF(OR(B14="",F14="",F14=0),"",D14/F14)</f>
        <v/>
      </c>
      <c r="I14" s="14" t="str">
        <f aca="false">IF(OR(B14="",G14="",G14=0),"",D14/G14*1000)</f>
        <v/>
      </c>
    </row>
    <row r="15" customFormat="false" ht="15" hidden="false" customHeight="true" outlineLevel="0" collapsed="false">
      <c r="A15" s="26"/>
      <c r="D15" s="31"/>
      <c r="F15" s="22"/>
      <c r="G15" s="22"/>
      <c r="H15" s="32" t="str">
        <f aca="false">IF(OR(B15="",F15="",F15=0),"",D15/F15)</f>
        <v/>
      </c>
      <c r="I15" s="14" t="str">
        <f aca="false">IF(OR(B15="",G15="",G15=0),"",D15/G15*1000)</f>
        <v/>
      </c>
    </row>
    <row r="16" customFormat="false" ht="15" hidden="false" customHeight="true" outlineLevel="0" collapsed="false">
      <c r="A16" s="26"/>
      <c r="D16" s="31"/>
      <c r="F16" s="22"/>
      <c r="G16" s="22"/>
      <c r="H16" s="32" t="str">
        <f aca="false">IF(OR(B16="",F16="",F16=0),"",D16/F16)</f>
        <v/>
      </c>
      <c r="I16" s="14" t="str">
        <f aca="false">IF(OR(B16="",G16="",G16=0),"",D16/G16*1000)</f>
        <v/>
      </c>
    </row>
    <row r="17" customFormat="false" ht="15" hidden="false" customHeight="true" outlineLevel="0" collapsed="false">
      <c r="A17" s="26"/>
      <c r="D17" s="31"/>
      <c r="F17" s="22"/>
      <c r="G17" s="22"/>
      <c r="H17" s="32" t="str">
        <f aca="false">IF(OR(B17="",F17="",F17=0),"",D17/F17)</f>
        <v/>
      </c>
      <c r="I17" s="14" t="str">
        <f aca="false">IF(OR(B17="",G17="",G17=0),"",D17/G17*1000)</f>
        <v/>
      </c>
    </row>
    <row r="18" customFormat="false" ht="15" hidden="false" customHeight="true" outlineLevel="0" collapsed="false">
      <c r="A18" s="26"/>
      <c r="D18" s="31"/>
      <c r="F18" s="22"/>
      <c r="G18" s="22"/>
      <c r="H18" s="32" t="str">
        <f aca="false">IF(OR(B18="",F18="",F18=0),"",D18/F18)</f>
        <v/>
      </c>
      <c r="I18" s="14" t="str">
        <f aca="false">IF(OR(B18="",G18="",G18=0),"",D18/G18*1000)</f>
        <v/>
      </c>
    </row>
    <row r="19" customFormat="false" ht="15" hidden="false" customHeight="true" outlineLevel="0" collapsed="false">
      <c r="A19" s="26"/>
      <c r="D19" s="31"/>
      <c r="F19" s="22"/>
      <c r="G19" s="22"/>
      <c r="H19" s="32" t="str">
        <f aca="false">IF(OR(B19="",F19="",F19=0),"",D19/F19)</f>
        <v/>
      </c>
      <c r="I19" s="14" t="str">
        <f aca="false">IF(OR(B19="",G19="",G19=0),"",D19/G19*1000)</f>
        <v/>
      </c>
    </row>
    <row r="20" customFormat="false" ht="15" hidden="false" customHeight="true" outlineLevel="0" collapsed="false">
      <c r="A20" s="26"/>
      <c r="D20" s="31"/>
      <c r="F20" s="22"/>
      <c r="G20" s="22"/>
      <c r="H20" s="32" t="str">
        <f aca="false">IF(OR(B20="",F20="",F20=0),"",D20/F20)</f>
        <v/>
      </c>
      <c r="I20" s="14" t="str">
        <f aca="false">IF(OR(B20="",G20="",G20=0),"",D20/G20*1000)</f>
        <v/>
      </c>
    </row>
    <row r="21" customFormat="false" ht="15" hidden="false" customHeight="true" outlineLevel="0" collapsed="false">
      <c r="A21" s="26"/>
      <c r="D21" s="31"/>
      <c r="F21" s="22"/>
      <c r="G21" s="22"/>
      <c r="H21" s="32" t="str">
        <f aca="false">IF(OR(B21="",F21="",F21=0),"",D21/F21)</f>
        <v/>
      </c>
      <c r="I21" s="14" t="str">
        <f aca="false">IF(OR(B21="",G21="",G21=0),"",D21/G21*1000)</f>
        <v/>
      </c>
    </row>
    <row r="22" customFormat="false" ht="15" hidden="false" customHeight="true" outlineLevel="0" collapsed="false">
      <c r="A22" s="26"/>
      <c r="D22" s="31"/>
      <c r="F22" s="22"/>
      <c r="G22" s="22"/>
      <c r="H22" s="32" t="str">
        <f aca="false">IF(OR(B22="",F22="",F22=0),"",D22/F22)</f>
        <v/>
      </c>
      <c r="I22" s="14" t="str">
        <f aca="false">IF(OR(B22="",G22="",G22=0),"",D22/G22*1000)</f>
        <v/>
      </c>
    </row>
    <row r="23" customFormat="false" ht="15" hidden="false" customHeight="true" outlineLevel="0" collapsed="false">
      <c r="A23" s="26"/>
      <c r="D23" s="31"/>
      <c r="F23" s="22"/>
      <c r="G23" s="22"/>
      <c r="H23" s="32" t="str">
        <f aca="false">IF(OR(B23="",F23="",F23=0),"",D23/F23)</f>
        <v/>
      </c>
      <c r="I23" s="14" t="str">
        <f aca="false">IF(OR(B23="",G23="",G23=0),"",D23/G23*1000)</f>
        <v/>
      </c>
    </row>
    <row r="24" customFormat="false" ht="15" hidden="false" customHeight="true" outlineLevel="0" collapsed="false">
      <c r="A24" s="26"/>
      <c r="D24" s="31"/>
      <c r="F24" s="22"/>
      <c r="G24" s="22"/>
      <c r="H24" s="32" t="str">
        <f aca="false">IF(OR(B24="",F24="",F24=0),"",D24/F24)</f>
        <v/>
      </c>
      <c r="I24" s="14" t="str">
        <f aca="false">IF(OR(B24="",G24="",G24=0),"",D24/G24*1000)</f>
        <v/>
      </c>
    </row>
    <row r="25" customFormat="false" ht="15" hidden="false" customHeight="true" outlineLevel="0" collapsed="false">
      <c r="A25" s="26"/>
      <c r="D25" s="31"/>
      <c r="F25" s="22"/>
      <c r="G25" s="22"/>
      <c r="H25" s="32" t="str">
        <f aca="false">IF(OR(B25="",F25="",F25=0),"",D25/F25)</f>
        <v/>
      </c>
      <c r="I25" s="14" t="str">
        <f aca="false">IF(OR(B25="",G25="",G25=0),"",D25/G25*1000)</f>
        <v/>
      </c>
    </row>
    <row r="26" customFormat="false" ht="15" hidden="false" customHeight="true" outlineLevel="0" collapsed="false">
      <c r="A26" s="26"/>
      <c r="D26" s="31"/>
      <c r="F26" s="22"/>
      <c r="G26" s="22"/>
      <c r="H26" s="32" t="str">
        <f aca="false">IF(OR(B26="",F26="",F26=0),"",D26/F26)</f>
        <v/>
      </c>
      <c r="I26" s="14" t="str">
        <f aca="false">IF(OR(B26="",G26="",G26=0),"",D26/G26*1000)</f>
        <v/>
      </c>
    </row>
    <row r="27" customFormat="false" ht="15" hidden="false" customHeight="true" outlineLevel="0" collapsed="false">
      <c r="A27" s="26"/>
      <c r="D27" s="31"/>
      <c r="F27" s="22"/>
      <c r="G27" s="22"/>
      <c r="H27" s="32" t="str">
        <f aca="false">IF(OR(B27="",F27="",F27=0),"",D27/F27)</f>
        <v/>
      </c>
      <c r="I27" s="14" t="str">
        <f aca="false">IF(OR(B27="",G27="",G27=0),"",D27/G27*1000)</f>
        <v/>
      </c>
    </row>
    <row r="28" customFormat="false" ht="15" hidden="false" customHeight="true" outlineLevel="0" collapsed="false">
      <c r="A28" s="26"/>
      <c r="D28" s="31"/>
      <c r="F28" s="22"/>
      <c r="G28" s="22"/>
      <c r="H28" s="32" t="str">
        <f aca="false">IF(OR(B28="",F28="",F28=0),"",D28/F28)</f>
        <v/>
      </c>
      <c r="I28" s="14" t="str">
        <f aca="false">IF(OR(B28="",G28="",G28=0),"",D28/G28*1000)</f>
        <v/>
      </c>
    </row>
    <row r="29" customFormat="false" ht="15" hidden="false" customHeight="true" outlineLevel="0" collapsed="false">
      <c r="A29" s="26"/>
      <c r="D29" s="31"/>
      <c r="F29" s="22"/>
      <c r="G29" s="22"/>
      <c r="H29" s="32" t="str">
        <f aca="false">IF(OR(B29="",F29="",F29=0),"",D29/F29)</f>
        <v/>
      </c>
      <c r="I29" s="14" t="str">
        <f aca="false">IF(OR(B29="",G29="",G29=0),"",D29/G29*1000)</f>
        <v/>
      </c>
    </row>
    <row r="30" customFormat="false" ht="15" hidden="false" customHeight="true" outlineLevel="0" collapsed="false">
      <c r="A30" s="26"/>
      <c r="D30" s="31"/>
      <c r="F30" s="22"/>
      <c r="G30" s="22"/>
      <c r="H30" s="32" t="str">
        <f aca="false">IF(OR(B30="",F30="",F30=0),"",D30/F30)</f>
        <v/>
      </c>
      <c r="I30" s="14" t="str">
        <f aca="false">IF(OR(B30="",G30="",G30=0),"",D30/G30*1000)</f>
        <v/>
      </c>
    </row>
    <row r="31" customFormat="false" ht="15" hidden="false" customHeight="true" outlineLevel="0" collapsed="false">
      <c r="A31" s="26"/>
      <c r="D31" s="31"/>
      <c r="F31" s="22"/>
      <c r="G31" s="22"/>
      <c r="H31" s="32" t="str">
        <f aca="false">IF(OR(B31="",F31="",F31=0),"",D31/F31)</f>
        <v/>
      </c>
      <c r="I31" s="14" t="str">
        <f aca="false">IF(OR(B31="",G31="",G31=0),"",D31/G31*1000)</f>
        <v/>
      </c>
    </row>
    <row r="32" customFormat="false" ht="15" hidden="false" customHeight="true" outlineLevel="0" collapsed="false">
      <c r="A32" s="26"/>
      <c r="D32" s="31"/>
      <c r="F32" s="22"/>
      <c r="G32" s="22"/>
      <c r="H32" s="32" t="str">
        <f aca="false">IF(OR(B32="",F32="",F32=0),"",D32/F32)</f>
        <v/>
      </c>
      <c r="I32" s="14" t="str">
        <f aca="false">IF(OR(B32="",G32="",G32=0),"",D32/G32*1000)</f>
        <v/>
      </c>
    </row>
    <row r="33" customFormat="false" ht="15" hidden="false" customHeight="true" outlineLevel="0" collapsed="false">
      <c r="A33" s="26"/>
      <c r="D33" s="31"/>
      <c r="F33" s="22"/>
      <c r="G33" s="22"/>
      <c r="H33" s="32" t="str">
        <f aca="false">IF(OR(B33="",F33="",F33=0),"",D33/F33)</f>
        <v/>
      </c>
      <c r="I33" s="14" t="str">
        <f aca="false">IF(OR(B33="",G33="",G33=0),"",D33/G33*1000)</f>
        <v/>
      </c>
    </row>
    <row r="34" customFormat="false" ht="15" hidden="false" customHeight="true" outlineLevel="0" collapsed="false">
      <c r="A34" s="26"/>
      <c r="D34" s="31"/>
      <c r="F34" s="22"/>
      <c r="G34" s="22"/>
      <c r="H34" s="32" t="str">
        <f aca="false">IF(OR(B34="",F34="",F34=0),"",D34/F34)</f>
        <v/>
      </c>
      <c r="I34" s="14" t="str">
        <f aca="false">IF(OR(B34="",G34="",G34=0),"",D34/G34*1000)</f>
        <v/>
      </c>
    </row>
    <row r="35" customFormat="false" ht="15" hidden="false" customHeight="true" outlineLevel="0" collapsed="false">
      <c r="A35" s="26"/>
      <c r="D35" s="31"/>
      <c r="F35" s="22"/>
      <c r="G35" s="22"/>
      <c r="H35" s="32" t="str">
        <f aca="false">IF(OR(B35="",F35="",F35=0),"",D35/F35)</f>
        <v/>
      </c>
      <c r="I35" s="14" t="str">
        <f aca="false">IF(OR(B35="",G35="",G35=0),"",D35/G35*1000)</f>
        <v/>
      </c>
    </row>
    <row r="36" customFormat="false" ht="15" hidden="false" customHeight="true" outlineLevel="0" collapsed="false">
      <c r="A36" s="26"/>
      <c r="D36" s="31"/>
      <c r="F36" s="22"/>
      <c r="G36" s="22"/>
      <c r="H36" s="32" t="str">
        <f aca="false">IF(OR(B36="",F36="",F36=0),"",D36/F36)</f>
        <v/>
      </c>
      <c r="I36" s="14" t="str">
        <f aca="false">IF(OR(B36="",G36="",G36=0),"",D36/G36*1000)</f>
        <v/>
      </c>
    </row>
    <row r="37" customFormat="false" ht="15" hidden="false" customHeight="true" outlineLevel="0" collapsed="false">
      <c r="A37" s="26"/>
      <c r="D37" s="31"/>
      <c r="F37" s="22"/>
      <c r="G37" s="22"/>
      <c r="H37" s="32" t="str">
        <f aca="false">IF(OR(B37="",F37="",F37=0),"",D37/F37)</f>
        <v/>
      </c>
      <c r="I37" s="14" t="str">
        <f aca="false">IF(OR(B37="",G37="",G37=0),"",D37/G37*1000)</f>
        <v/>
      </c>
    </row>
    <row r="38" customFormat="false" ht="15" hidden="false" customHeight="true" outlineLevel="0" collapsed="false">
      <c r="A38" s="26"/>
      <c r="D38" s="31"/>
      <c r="F38" s="22"/>
      <c r="G38" s="22"/>
      <c r="H38" s="32" t="str">
        <f aca="false">IF(OR(B38="",F38="",F38=0),"",D38/F38)</f>
        <v/>
      </c>
      <c r="I38" s="14" t="str">
        <f aca="false">IF(OR(B38="",G38="",G38=0),"",D38/G38*1000)</f>
        <v/>
      </c>
    </row>
    <row r="39" customFormat="false" ht="15" hidden="false" customHeight="true" outlineLevel="0" collapsed="false">
      <c r="A39" s="26"/>
      <c r="D39" s="31"/>
      <c r="F39" s="22"/>
      <c r="G39" s="22"/>
      <c r="H39" s="32" t="str">
        <f aca="false">IF(OR(B39="",F39="",F39=0),"",D39/F39)</f>
        <v/>
      </c>
      <c r="I39" s="14" t="str">
        <f aca="false">IF(OR(B39="",G39="",G39=0),"",D39/G39*1000)</f>
        <v/>
      </c>
    </row>
    <row r="40" customFormat="false" ht="15" hidden="false" customHeight="true" outlineLevel="0" collapsed="false">
      <c r="A40" s="26"/>
      <c r="D40" s="31"/>
      <c r="F40" s="22"/>
      <c r="G40" s="22"/>
      <c r="H40" s="32" t="str">
        <f aca="false">IF(OR(B40="",F40="",F40=0),"",D40/F40)</f>
        <v/>
      </c>
      <c r="I40" s="14" t="str">
        <f aca="false">IF(OR(B40="",G40="",G40=0),"",D40/G40*1000)</f>
        <v/>
      </c>
    </row>
    <row r="41" customFormat="false" ht="15" hidden="false" customHeight="true" outlineLevel="0" collapsed="false">
      <c r="A41" s="26"/>
      <c r="D41" s="31"/>
      <c r="F41" s="22"/>
      <c r="G41" s="22"/>
      <c r="H41" s="32" t="str">
        <f aca="false">IF(OR(B41="",F41="",F41=0),"",D41/F41)</f>
        <v/>
      </c>
      <c r="I41" s="14" t="str">
        <f aca="false">IF(OR(B41="",G41="",G41=0),"",D41/G41*1000)</f>
        <v/>
      </c>
    </row>
    <row r="42" customFormat="false" ht="15" hidden="false" customHeight="true" outlineLevel="0" collapsed="false">
      <c r="A42" s="26"/>
      <c r="D42" s="31"/>
      <c r="F42" s="22"/>
      <c r="G42" s="22"/>
      <c r="H42" s="32" t="str">
        <f aca="false">IF(OR(B42="",F42="",F42=0),"",D42/F42)</f>
        <v/>
      </c>
      <c r="I42" s="14" t="str">
        <f aca="false">IF(OR(B42="",G42="",G42=0),"",D42/G42*1000)</f>
        <v/>
      </c>
    </row>
    <row r="43" customFormat="false" ht="15" hidden="false" customHeight="true" outlineLevel="0" collapsed="false">
      <c r="A43" s="26"/>
      <c r="D43" s="31"/>
      <c r="F43" s="22"/>
      <c r="G43" s="22"/>
      <c r="H43" s="32" t="str">
        <f aca="false">IF(OR(B43="",F43="",F43=0),"",D43/F43)</f>
        <v/>
      </c>
      <c r="I43" s="14" t="str">
        <f aca="false">IF(OR(B43="",G43="",G43=0),"",D43/G43*1000)</f>
        <v/>
      </c>
    </row>
    <row r="44" customFormat="false" ht="15" hidden="false" customHeight="true" outlineLevel="0" collapsed="false">
      <c r="A44" s="26"/>
      <c r="D44" s="31"/>
      <c r="F44" s="22"/>
      <c r="G44" s="22"/>
      <c r="H44" s="32" t="str">
        <f aca="false">IF(OR(B44="",F44="",F44=0),"",D44/F44)</f>
        <v/>
      </c>
      <c r="I44" s="14" t="str">
        <f aca="false">IF(OR(B44="",G44="",G44=0),"",D44/G44*1000)</f>
        <v/>
      </c>
    </row>
    <row r="45" customFormat="false" ht="15" hidden="false" customHeight="true" outlineLevel="0" collapsed="false">
      <c r="A45" s="26"/>
      <c r="D45" s="31"/>
      <c r="F45" s="22"/>
      <c r="G45" s="22"/>
      <c r="H45" s="32" t="str">
        <f aca="false">IF(OR(B45="",F45="",F45=0),"",D45/F45)</f>
        <v/>
      </c>
      <c r="I45" s="14" t="str">
        <f aca="false">IF(OR(B45="",G45="",G45=0),"",D45/G45*1000)</f>
        <v/>
      </c>
    </row>
    <row r="46" customFormat="false" ht="15" hidden="false" customHeight="true" outlineLevel="0" collapsed="false">
      <c r="A46" s="26"/>
      <c r="D46" s="31"/>
      <c r="F46" s="22"/>
      <c r="G46" s="22"/>
      <c r="H46" s="32" t="str">
        <f aca="false">IF(OR(B46="",F46="",F46=0),"",D46/F46)</f>
        <v/>
      </c>
      <c r="I46" s="14" t="str">
        <f aca="false">IF(OR(B46="",G46="",G46=0),"",D46/G46*1000)</f>
        <v/>
      </c>
    </row>
    <row r="47" customFormat="false" ht="15" hidden="false" customHeight="true" outlineLevel="0" collapsed="false">
      <c r="A47" s="26"/>
      <c r="D47" s="31"/>
      <c r="F47" s="22"/>
      <c r="G47" s="22"/>
      <c r="H47" s="32" t="str">
        <f aca="false">IF(OR(B47="",F47="",F47=0),"",D47/F47)</f>
        <v/>
      </c>
      <c r="I47" s="14" t="str">
        <f aca="false">IF(OR(B47="",G47="",G47=0),"",D47/G47*1000)</f>
        <v/>
      </c>
    </row>
    <row r="48" customFormat="false" ht="15" hidden="false" customHeight="true" outlineLevel="0" collapsed="false">
      <c r="A48" s="26"/>
      <c r="D48" s="31"/>
      <c r="F48" s="22"/>
      <c r="G48" s="22"/>
      <c r="H48" s="32" t="str">
        <f aca="false">IF(OR(B48="",F48="",F48=0),"",D48/F48)</f>
        <v/>
      </c>
      <c r="I48" s="14" t="str">
        <f aca="false">IF(OR(B48="",G48="",G48=0),"",D48/G48*1000)</f>
        <v/>
      </c>
    </row>
    <row r="49" customFormat="false" ht="15" hidden="false" customHeight="true" outlineLevel="0" collapsed="false">
      <c r="A49" s="26"/>
      <c r="D49" s="31"/>
      <c r="F49" s="22"/>
      <c r="G49" s="22"/>
      <c r="H49" s="32" t="str">
        <f aca="false">IF(OR(B49="",F49="",F49=0),"",D49/F49)</f>
        <v/>
      </c>
      <c r="I49" s="14" t="str">
        <f aca="false">IF(OR(B49="",G49="",G49=0),"",D49/G49*1000)</f>
        <v/>
      </c>
    </row>
    <row r="50" customFormat="false" ht="15" hidden="false" customHeight="true" outlineLevel="0" collapsed="false">
      <c r="A50" s="26"/>
      <c r="D50" s="31"/>
      <c r="F50" s="22"/>
      <c r="G50" s="22"/>
      <c r="H50" s="32" t="str">
        <f aca="false">IF(OR(B50="",F50="",F50=0),"",D50/F50)</f>
        <v/>
      </c>
      <c r="I50" s="14" t="str">
        <f aca="false">IF(OR(B50="",G50="",G50=0),"",D50/G50*1000)</f>
        <v/>
      </c>
    </row>
    <row r="51" customFormat="false" ht="15" hidden="false" customHeight="true" outlineLevel="0" collapsed="false">
      <c r="A51" s="26"/>
      <c r="D51" s="31"/>
      <c r="F51" s="22"/>
      <c r="G51" s="22"/>
      <c r="H51" s="32" t="str">
        <f aca="false">IF(OR(B51="",F51="",F51=0),"",D51/F51)</f>
        <v/>
      </c>
      <c r="I51" s="14" t="str">
        <f aca="false">IF(OR(B51="",G51="",G51=0),"",D51/G51*1000)</f>
        <v/>
      </c>
    </row>
    <row r="52" customFormat="false" ht="15" hidden="false" customHeight="true" outlineLevel="0" collapsed="false">
      <c r="A52" s="26"/>
      <c r="D52" s="31"/>
      <c r="F52" s="22"/>
      <c r="G52" s="22"/>
      <c r="H52" s="32" t="str">
        <f aca="false">IF(OR(B52="",F52="",F52=0),"",D52/F52)</f>
        <v/>
      </c>
      <c r="I52" s="14" t="str">
        <f aca="false">IF(OR(B52="",G52="",G52=0),"",D52/G52*1000)</f>
        <v/>
      </c>
    </row>
    <row r="53" customFormat="false" ht="15" hidden="false" customHeight="true" outlineLevel="0" collapsed="false">
      <c r="A53" s="26"/>
      <c r="D53" s="31"/>
      <c r="F53" s="22"/>
      <c r="G53" s="22"/>
      <c r="H53" s="32" t="str">
        <f aca="false">IF(OR(B53="",F53="",F53=0),"",D53/F53)</f>
        <v/>
      </c>
      <c r="I53" s="14" t="str">
        <f aca="false">IF(OR(B53="",G53="",G53=0),"",D53/G53*1000)</f>
        <v/>
      </c>
    </row>
    <row r="54" customFormat="false" ht="15" hidden="false" customHeight="true" outlineLevel="0" collapsed="false">
      <c r="A54" s="26"/>
      <c r="D54" s="31"/>
      <c r="F54" s="22"/>
      <c r="G54" s="22"/>
      <c r="H54" s="32" t="str">
        <f aca="false">IF(OR(B54="",F54="",F54=0),"",D54/F54)</f>
        <v/>
      </c>
      <c r="I54" s="14" t="str">
        <f aca="false">IF(OR(B54="",G54="",G54=0),"",D54/G54*1000)</f>
        <v/>
      </c>
    </row>
    <row r="55" customFormat="false" ht="15" hidden="false" customHeight="true" outlineLevel="0" collapsed="false">
      <c r="A55" s="26"/>
      <c r="D55" s="31"/>
      <c r="F55" s="22"/>
      <c r="G55" s="22"/>
      <c r="H55" s="32" t="str">
        <f aca="false">IF(OR(B55="",F55="",F55=0),"",D55/F55)</f>
        <v/>
      </c>
      <c r="I55" s="14" t="str">
        <f aca="false">IF(OR(B55="",G55="",G55=0),"",D55/G55*1000)</f>
        <v/>
      </c>
    </row>
    <row r="56" customFormat="false" ht="15" hidden="false" customHeight="true" outlineLevel="0" collapsed="false">
      <c r="A56" s="26"/>
      <c r="D56" s="31"/>
      <c r="F56" s="22"/>
      <c r="G56" s="22"/>
      <c r="H56" s="32" t="str">
        <f aca="false">IF(OR(B56="",F56="",F56=0),"",D56/F56)</f>
        <v/>
      </c>
      <c r="I56" s="14" t="str">
        <f aca="false">IF(OR(B56="",G56="",G56=0),"",D56/G56*1000)</f>
        <v/>
      </c>
    </row>
    <row r="57" customFormat="false" ht="15" hidden="false" customHeight="true" outlineLevel="0" collapsed="false">
      <c r="A57" s="26"/>
      <c r="D57" s="31"/>
      <c r="F57" s="22"/>
      <c r="G57" s="22"/>
      <c r="H57" s="32" t="str">
        <f aca="false">IF(OR(B57="",F57="",F57=0),"",D57/F57)</f>
        <v/>
      </c>
      <c r="I57" s="14" t="str">
        <f aca="false">IF(OR(B57="",G57="",G57=0),"",D57/G57*1000)</f>
        <v/>
      </c>
    </row>
    <row r="58" customFormat="false" ht="15" hidden="false" customHeight="true" outlineLevel="0" collapsed="false">
      <c r="A58" s="26"/>
      <c r="D58" s="31"/>
      <c r="F58" s="22"/>
      <c r="G58" s="22"/>
      <c r="H58" s="32" t="str">
        <f aca="false">IF(OR(B58="",F58="",F58=0),"",D58/F58)</f>
        <v/>
      </c>
      <c r="I58" s="14" t="str">
        <f aca="false">IF(OR(B58="",G58="",G58=0),"",D58/G58*1000)</f>
        <v/>
      </c>
    </row>
    <row r="59" customFormat="false" ht="15" hidden="false" customHeight="true" outlineLevel="0" collapsed="false">
      <c r="A59" s="26"/>
      <c r="D59" s="31"/>
      <c r="F59" s="22"/>
      <c r="G59" s="22"/>
      <c r="H59" s="32" t="str">
        <f aca="false">IF(OR(B59="",F59="",F59=0),"",D59/F59)</f>
        <v/>
      </c>
      <c r="I59" s="14" t="str">
        <f aca="false">IF(OR(B59="",G59="",G59=0),"",D59/G59*1000)</f>
        <v/>
      </c>
    </row>
    <row r="60" customFormat="false" ht="15" hidden="false" customHeight="true" outlineLevel="0" collapsed="false">
      <c r="A60" s="26"/>
      <c r="D60" s="31"/>
      <c r="F60" s="22"/>
      <c r="G60" s="22"/>
      <c r="H60" s="32" t="str">
        <f aca="false">IF(OR(B60="",F60="",F60=0),"",D60/F60)</f>
        <v/>
      </c>
      <c r="I60" s="14" t="str">
        <f aca="false">IF(OR(B60="",G60="",G60=0),"",D60/G60*1000)</f>
        <v/>
      </c>
    </row>
    <row r="61" customFormat="false" ht="15" hidden="false" customHeight="true" outlineLevel="0" collapsed="false">
      <c r="A61" s="26"/>
      <c r="D61" s="31"/>
      <c r="F61" s="22"/>
      <c r="G61" s="22"/>
      <c r="H61" s="32" t="str">
        <f aca="false">IF(OR(B61="",F61="",F61=0),"",D61/F61)</f>
        <v/>
      </c>
      <c r="I61" s="14" t="str">
        <f aca="false">IF(OR(B61="",G61="",G61=0),"",D61/G61*1000)</f>
        <v/>
      </c>
    </row>
    <row r="62" customFormat="false" ht="15" hidden="false" customHeight="true" outlineLevel="0" collapsed="false">
      <c r="A62" s="26"/>
      <c r="D62" s="31"/>
      <c r="F62" s="22"/>
      <c r="G62" s="22"/>
      <c r="H62" s="32" t="str">
        <f aca="false">IF(OR(B62="",F62="",F62=0),"",D62/F62)</f>
        <v/>
      </c>
      <c r="I62" s="14" t="str">
        <f aca="false">IF(OR(B62="",G62="",G62=0),"",D62/G62*1000)</f>
        <v/>
      </c>
    </row>
    <row r="63" customFormat="false" ht="15" hidden="false" customHeight="true" outlineLevel="0" collapsed="false">
      <c r="A63" s="26"/>
      <c r="D63" s="31"/>
      <c r="F63" s="22"/>
      <c r="G63" s="22"/>
      <c r="H63" s="32" t="str">
        <f aca="false">IF(OR(B63="",F63="",F63=0),"",D63/F63)</f>
        <v/>
      </c>
      <c r="I63" s="14" t="str">
        <f aca="false">IF(OR(B63="",G63="",G63=0),"",D63/G63*1000)</f>
        <v/>
      </c>
    </row>
    <row r="64" customFormat="false" ht="15" hidden="false" customHeight="true" outlineLevel="0" collapsed="false">
      <c r="A64" s="26"/>
      <c r="D64" s="31"/>
      <c r="F64" s="22"/>
      <c r="G64" s="22"/>
      <c r="H64" s="32" t="str">
        <f aca="false">IF(OR(B64="",F64="",F64=0),"",D64/F64)</f>
        <v/>
      </c>
      <c r="I64" s="14" t="str">
        <f aca="false">IF(OR(B64="",G64="",G64=0),"",D64/G64*1000)</f>
        <v/>
      </c>
    </row>
    <row r="65" customFormat="false" ht="15" hidden="false" customHeight="true" outlineLevel="0" collapsed="false">
      <c r="A65" s="26"/>
      <c r="D65" s="31"/>
      <c r="F65" s="22"/>
      <c r="G65" s="22"/>
      <c r="H65" s="32" t="str">
        <f aca="false">IF(OR(B65="",F65="",F65=0),"",D65/F65)</f>
        <v/>
      </c>
      <c r="I65" s="14" t="str">
        <f aca="false">IF(OR(B65="",G65="",G65=0),"",D65/G65*1000)</f>
        <v/>
      </c>
    </row>
    <row r="66" customFormat="false" ht="15" hidden="false" customHeight="true" outlineLevel="0" collapsed="false">
      <c r="A66" s="26"/>
      <c r="D66" s="31"/>
      <c r="F66" s="22"/>
      <c r="G66" s="22"/>
      <c r="H66" s="32" t="str">
        <f aca="false">IF(OR(B66="",F66="",F66=0),"",D66/F66)</f>
        <v/>
      </c>
      <c r="I66" s="14" t="str">
        <f aca="false">IF(OR(B66="",G66="",G66=0),"",D66/G66*1000)</f>
        <v/>
      </c>
    </row>
    <row r="67" customFormat="false" ht="15" hidden="false" customHeight="true" outlineLevel="0" collapsed="false">
      <c r="A67" s="26"/>
      <c r="D67" s="31"/>
      <c r="F67" s="22"/>
      <c r="G67" s="22"/>
      <c r="H67" s="32" t="str">
        <f aca="false">IF(OR(B67="",F67="",F67=0),"",D67/F67)</f>
        <v/>
      </c>
      <c r="I67" s="14" t="str">
        <f aca="false">IF(OR(B67="",G67="",G67=0),"",D67/G67*1000)</f>
        <v/>
      </c>
    </row>
    <row r="68" customFormat="false" ht="15" hidden="false" customHeight="true" outlineLevel="0" collapsed="false">
      <c r="A68" s="26"/>
      <c r="D68" s="31"/>
      <c r="F68" s="22"/>
      <c r="G68" s="22"/>
      <c r="H68" s="32" t="str">
        <f aca="false">IF(OR(B68="",F68="",F68=0),"",D68/F68)</f>
        <v/>
      </c>
      <c r="I68" s="14" t="str">
        <f aca="false">IF(OR(B68="",G68="",G68=0),"",D68/G68*1000)</f>
        <v/>
      </c>
    </row>
    <row r="69" customFormat="false" ht="15" hidden="false" customHeight="true" outlineLevel="0" collapsed="false">
      <c r="A69" s="26"/>
      <c r="D69" s="31"/>
      <c r="F69" s="22"/>
      <c r="G69" s="22"/>
      <c r="H69" s="32" t="str">
        <f aca="false">IF(OR(B69="",F69="",F69=0),"",D69/F69)</f>
        <v/>
      </c>
      <c r="I69" s="14" t="str">
        <f aca="false">IF(OR(B69="",G69="",G69=0),"",D69/G69*1000)</f>
        <v/>
      </c>
    </row>
    <row r="70" customFormat="false" ht="15" hidden="false" customHeight="true" outlineLevel="0" collapsed="false">
      <c r="A70" s="26"/>
      <c r="D70" s="31"/>
      <c r="F70" s="22"/>
      <c r="G70" s="22"/>
      <c r="H70" s="32" t="str">
        <f aca="false">IF(OR(B70="",F70="",F70=0),"",D70/F70)</f>
        <v/>
      </c>
      <c r="I70" s="14" t="str">
        <f aca="false">IF(OR(B70="",G70="",G70=0),"",D70/G70*1000)</f>
        <v/>
      </c>
    </row>
    <row r="71" customFormat="false" ht="15" hidden="false" customHeight="true" outlineLevel="0" collapsed="false">
      <c r="A71" s="26"/>
      <c r="D71" s="31"/>
      <c r="F71" s="22"/>
      <c r="G71" s="22"/>
      <c r="H71" s="32" t="str">
        <f aca="false">IF(OR(B71="",F71="",F71=0),"",D71/F71)</f>
        <v/>
      </c>
      <c r="I71" s="14" t="str">
        <f aca="false">IF(OR(B71="",G71="",G71=0),"",D71/G71*1000)</f>
        <v/>
      </c>
    </row>
    <row r="72" customFormat="false" ht="15" hidden="false" customHeight="true" outlineLevel="0" collapsed="false">
      <c r="A72" s="26"/>
      <c r="D72" s="31"/>
      <c r="F72" s="22"/>
      <c r="G72" s="22"/>
      <c r="H72" s="32" t="str">
        <f aca="false">IF(OR(B72="",F72="",F72=0),"",D72/F72)</f>
        <v/>
      </c>
      <c r="I72" s="14" t="str">
        <f aca="false">IF(OR(B72="",G72="",G72=0),"",D72/G72*1000)</f>
        <v/>
      </c>
    </row>
    <row r="73" customFormat="false" ht="15" hidden="false" customHeight="true" outlineLevel="0" collapsed="false">
      <c r="A73" s="26"/>
      <c r="D73" s="31"/>
      <c r="F73" s="22"/>
      <c r="G73" s="22"/>
      <c r="H73" s="32" t="str">
        <f aca="false">IF(OR(B73="",F73="",F73=0),"",D73/F73)</f>
        <v/>
      </c>
      <c r="I73" s="14" t="str">
        <f aca="false">IF(OR(B73="",G73="",G73=0),"",D73/G73*1000)</f>
        <v/>
      </c>
    </row>
    <row r="74" customFormat="false" ht="15" hidden="false" customHeight="true" outlineLevel="0" collapsed="false">
      <c r="A74" s="26"/>
      <c r="D74" s="31"/>
      <c r="F74" s="22"/>
      <c r="G74" s="22"/>
      <c r="H74" s="32" t="str">
        <f aca="false">IF(OR(B74="",F74="",F74=0),"",D74/F74)</f>
        <v/>
      </c>
      <c r="I74" s="14" t="str">
        <f aca="false">IF(OR(B74="",G74="",G74=0),"",D74/G74*1000)</f>
        <v/>
      </c>
    </row>
    <row r="75" customFormat="false" ht="15" hidden="false" customHeight="true" outlineLevel="0" collapsed="false">
      <c r="A75" s="26"/>
      <c r="D75" s="31"/>
      <c r="F75" s="22"/>
      <c r="G75" s="22"/>
      <c r="H75" s="32" t="str">
        <f aca="false">IF(OR(B75="",F75="",F75=0),"",D75/F75)</f>
        <v/>
      </c>
      <c r="I75" s="14" t="str">
        <f aca="false">IF(OR(B75="",G75="",G75=0),"",D75/G75*1000)</f>
        <v/>
      </c>
    </row>
    <row r="76" customFormat="false" ht="15" hidden="false" customHeight="true" outlineLevel="0" collapsed="false">
      <c r="A76" s="26"/>
      <c r="D76" s="31"/>
      <c r="F76" s="22"/>
      <c r="G76" s="22"/>
      <c r="H76" s="32" t="str">
        <f aca="false">IF(OR(B76="",F76="",F76=0),"",D76/F76)</f>
        <v/>
      </c>
      <c r="I76" s="14" t="str">
        <f aca="false">IF(OR(B76="",G76="",G76=0),"",D76/G76*1000)</f>
        <v/>
      </c>
    </row>
    <row r="77" customFormat="false" ht="15" hidden="false" customHeight="true" outlineLevel="0" collapsed="false">
      <c r="A77" s="26"/>
      <c r="D77" s="31"/>
      <c r="F77" s="22"/>
      <c r="G77" s="22"/>
      <c r="H77" s="32" t="str">
        <f aca="false">IF(OR(B77="",F77="",F77=0),"",D77/F77)</f>
        <v/>
      </c>
      <c r="I77" s="14" t="str">
        <f aca="false">IF(OR(B77="",G77="",G77=0),"",D77/G77*1000)</f>
        <v/>
      </c>
    </row>
    <row r="78" customFormat="false" ht="15" hidden="false" customHeight="true" outlineLevel="0" collapsed="false">
      <c r="A78" s="26"/>
      <c r="D78" s="31"/>
      <c r="F78" s="22"/>
      <c r="G78" s="22"/>
      <c r="H78" s="32" t="str">
        <f aca="false">IF(OR(B78="",F78="",F78=0),"",D78/F78)</f>
        <v/>
      </c>
      <c r="I78" s="14" t="str">
        <f aca="false">IF(OR(B78="",G78="",G78=0),"",D78/G78*1000)</f>
        <v/>
      </c>
    </row>
    <row r="79" customFormat="false" ht="15" hidden="false" customHeight="true" outlineLevel="0" collapsed="false">
      <c r="A79" s="26"/>
      <c r="D79" s="31"/>
      <c r="F79" s="22"/>
      <c r="G79" s="22"/>
      <c r="H79" s="32" t="str">
        <f aca="false">IF(OR(B79="",F79="",F79=0),"",D79/F79)</f>
        <v/>
      </c>
      <c r="I79" s="14" t="str">
        <f aca="false">IF(OR(B79="",G79="",G79=0),"",D79/G79*1000)</f>
        <v/>
      </c>
    </row>
    <row r="80" customFormat="false" ht="15" hidden="false" customHeight="true" outlineLevel="0" collapsed="false">
      <c r="A80" s="26"/>
      <c r="D80" s="31"/>
      <c r="F80" s="22"/>
      <c r="G80" s="22"/>
      <c r="H80" s="32" t="str">
        <f aca="false">IF(OR(B80="",F80="",F80=0),"",D80/F80)</f>
        <v/>
      </c>
      <c r="I80" s="14" t="str">
        <f aca="false">IF(OR(B80="",G80="",G80=0),"",D80/G80*1000)</f>
        <v/>
      </c>
    </row>
    <row r="81" customFormat="false" ht="15" hidden="false" customHeight="true" outlineLevel="0" collapsed="false">
      <c r="A81" s="26"/>
      <c r="D81" s="31"/>
      <c r="F81" s="22"/>
      <c r="G81" s="22"/>
      <c r="H81" s="32" t="str">
        <f aca="false">IF(OR(B81="",F81="",F81=0),"",D81/F81)</f>
        <v/>
      </c>
      <c r="I81" s="14" t="str">
        <f aca="false">IF(OR(B81="",G81="",G81=0),"",D81/G81*1000)</f>
        <v/>
      </c>
    </row>
    <row r="82" customFormat="false" ht="15" hidden="false" customHeight="true" outlineLevel="0" collapsed="false">
      <c r="A82" s="26"/>
      <c r="D82" s="31"/>
      <c r="F82" s="22"/>
      <c r="G82" s="22"/>
      <c r="H82" s="32" t="str">
        <f aca="false">IF(OR(B82="",F82="",F82=0),"",D82/F82)</f>
        <v/>
      </c>
      <c r="I82" s="14" t="str">
        <f aca="false">IF(OR(B82="",G82="",G82=0),"",D82/G82*1000)</f>
        <v/>
      </c>
    </row>
    <row r="83" customFormat="false" ht="15" hidden="false" customHeight="true" outlineLevel="0" collapsed="false">
      <c r="A83" s="26"/>
      <c r="D83" s="31"/>
      <c r="F83" s="22"/>
      <c r="G83" s="22"/>
      <c r="H83" s="32" t="str">
        <f aca="false">IF(OR(B83="",F83="",F83=0),"",D83/F83)</f>
        <v/>
      </c>
      <c r="I83" s="14" t="str">
        <f aca="false">IF(OR(B83="",G83="",G83=0),"",D83/G83*1000)</f>
        <v/>
      </c>
    </row>
    <row r="84" customFormat="false" ht="15" hidden="false" customHeight="true" outlineLevel="0" collapsed="false">
      <c r="A84" s="26"/>
      <c r="D84" s="31"/>
      <c r="F84" s="22"/>
      <c r="G84" s="22"/>
      <c r="H84" s="32" t="str">
        <f aca="false">IF(OR(B84="",F84="",F84=0),"",D84/F84)</f>
        <v/>
      </c>
      <c r="I84" s="14" t="str">
        <f aca="false">IF(OR(B84="",G84="",G84=0),"",D84/G84*1000)</f>
        <v/>
      </c>
    </row>
    <row r="85" customFormat="false" ht="15" hidden="false" customHeight="true" outlineLevel="0" collapsed="false">
      <c r="A85" s="26"/>
      <c r="D85" s="31"/>
      <c r="F85" s="22"/>
      <c r="G85" s="22"/>
      <c r="H85" s="32" t="str">
        <f aca="false">IF(OR(B85="",F85="",F85=0),"",D85/F85)</f>
        <v/>
      </c>
      <c r="I85" s="14" t="str">
        <f aca="false">IF(OR(B85="",G85="",G85=0),"",D85/G85*1000)</f>
        <v/>
      </c>
    </row>
    <row r="86" customFormat="false" ht="15" hidden="false" customHeight="true" outlineLevel="0" collapsed="false">
      <c r="A86" s="26"/>
      <c r="D86" s="31"/>
      <c r="F86" s="22"/>
      <c r="G86" s="22"/>
      <c r="H86" s="32" t="str">
        <f aca="false">IF(OR(B86="",F86="",F86=0),"",D86/F86)</f>
        <v/>
      </c>
      <c r="I86" s="14" t="str">
        <f aca="false">IF(OR(B86="",G86="",G86=0),"",D86/G86*1000)</f>
        <v/>
      </c>
    </row>
    <row r="87" customFormat="false" ht="15" hidden="false" customHeight="true" outlineLevel="0" collapsed="false">
      <c r="A87" s="26"/>
      <c r="D87" s="31"/>
      <c r="F87" s="22"/>
      <c r="G87" s="22"/>
      <c r="H87" s="32" t="str">
        <f aca="false">IF(OR(B87="",F87="",F87=0),"",D87/F87)</f>
        <v/>
      </c>
      <c r="I87" s="14" t="str">
        <f aca="false">IF(OR(B87="",G87="",G87=0),"",D87/G87*1000)</f>
        <v/>
      </c>
    </row>
    <row r="88" customFormat="false" ht="15" hidden="false" customHeight="true" outlineLevel="0" collapsed="false">
      <c r="A88" s="26"/>
      <c r="D88" s="31"/>
      <c r="F88" s="22"/>
      <c r="G88" s="22"/>
      <c r="H88" s="32" t="str">
        <f aca="false">IF(OR(B88="",F88="",F88=0),"",D88/F88)</f>
        <v/>
      </c>
      <c r="I88" s="14" t="str">
        <f aca="false">IF(OR(B88="",G88="",G88=0),"",D88/G88*1000)</f>
        <v/>
      </c>
    </row>
    <row r="89" customFormat="false" ht="15" hidden="false" customHeight="true" outlineLevel="0" collapsed="false">
      <c r="A89" s="26"/>
      <c r="D89" s="31"/>
      <c r="F89" s="22"/>
      <c r="G89" s="22"/>
      <c r="H89" s="32" t="str">
        <f aca="false">IF(OR(B89="",F89="",F89=0),"",D89/F89)</f>
        <v/>
      </c>
      <c r="I89" s="14" t="str">
        <f aca="false">IF(OR(B89="",G89="",G89=0),"",D89/G89*1000)</f>
        <v/>
      </c>
    </row>
    <row r="90" customFormat="false" ht="15" hidden="false" customHeight="true" outlineLevel="0" collapsed="false">
      <c r="A90" s="26"/>
      <c r="D90" s="31"/>
      <c r="F90" s="22"/>
      <c r="G90" s="22"/>
      <c r="H90" s="32" t="str">
        <f aca="false">IF(OR(B90="",F90="",F90=0),"",D90/F90)</f>
        <v/>
      </c>
      <c r="I90" s="14" t="str">
        <f aca="false">IF(OR(B90="",G90="",G90=0),"",D90/G90*1000)</f>
        <v/>
      </c>
    </row>
    <row r="91" customFormat="false" ht="15" hidden="false" customHeight="true" outlineLevel="0" collapsed="false">
      <c r="A91" s="26"/>
      <c r="D91" s="31"/>
      <c r="F91" s="22"/>
      <c r="G91" s="22"/>
      <c r="H91" s="32" t="str">
        <f aca="false">IF(OR(B91="",F91="",F91=0),"",D91/F91)</f>
        <v/>
      </c>
      <c r="I91" s="14" t="str">
        <f aca="false">IF(OR(B91="",G91="",G91=0),"",D91/G91*1000)</f>
        <v/>
      </c>
    </row>
    <row r="92" customFormat="false" ht="15" hidden="false" customHeight="true" outlineLevel="0" collapsed="false">
      <c r="A92" s="26"/>
      <c r="D92" s="31"/>
      <c r="F92" s="22"/>
      <c r="G92" s="22"/>
      <c r="H92" s="32" t="str">
        <f aca="false">IF(OR(B92="",F92="",F92=0),"",D92/F92)</f>
        <v/>
      </c>
      <c r="I92" s="14" t="str">
        <f aca="false">IF(OR(B92="",G92="",G92=0),"",D92/G92*1000)</f>
        <v/>
      </c>
    </row>
    <row r="93" customFormat="false" ht="15" hidden="false" customHeight="true" outlineLevel="0" collapsed="false">
      <c r="A93" s="26"/>
      <c r="D93" s="31"/>
      <c r="F93" s="22"/>
      <c r="G93" s="22"/>
      <c r="H93" s="32" t="str">
        <f aca="false">IF(OR(B93="",F93="",F93=0),"",D93/F93)</f>
        <v/>
      </c>
      <c r="I93" s="14" t="str">
        <f aca="false">IF(OR(B93="",G93="",G93=0),"",D93/G93*1000)</f>
        <v/>
      </c>
    </row>
    <row r="94" customFormat="false" ht="15" hidden="false" customHeight="true" outlineLevel="0" collapsed="false">
      <c r="A94" s="26"/>
      <c r="D94" s="31"/>
      <c r="F94" s="22"/>
      <c r="G94" s="22"/>
      <c r="H94" s="32" t="str">
        <f aca="false">IF(OR(B94="",F94="",F94=0),"",D94/F94)</f>
        <v/>
      </c>
      <c r="I94" s="14" t="str">
        <f aca="false">IF(OR(B94="",G94="",G94=0),"",D94/G94*1000)</f>
        <v/>
      </c>
    </row>
    <row r="95" customFormat="false" ht="15" hidden="false" customHeight="true" outlineLevel="0" collapsed="false">
      <c r="A95" s="26"/>
      <c r="D95" s="31"/>
      <c r="F95" s="22"/>
      <c r="G95" s="22"/>
      <c r="H95" s="32" t="str">
        <f aca="false">IF(OR(B95="",F95="",F95=0),"",D95/F95)</f>
        <v/>
      </c>
      <c r="I95" s="14" t="str">
        <f aca="false">IF(OR(B95="",G95="",G95=0),"",D95/G95*1000)</f>
        <v/>
      </c>
    </row>
    <row r="96" customFormat="false" ht="15" hidden="false" customHeight="true" outlineLevel="0" collapsed="false">
      <c r="A96" s="26"/>
      <c r="D96" s="31"/>
      <c r="F96" s="22"/>
      <c r="G96" s="22"/>
      <c r="H96" s="32" t="str">
        <f aca="false">IF(OR(B96="",F96="",F96=0),"",D96/F96)</f>
        <v/>
      </c>
      <c r="I96" s="14" t="str">
        <f aca="false">IF(OR(B96="",G96="",G96=0),"",D96/G96*1000)</f>
        <v/>
      </c>
    </row>
    <row r="97" customFormat="false" ht="15" hidden="false" customHeight="true" outlineLevel="0" collapsed="false">
      <c r="A97" s="26"/>
      <c r="D97" s="31"/>
      <c r="F97" s="22"/>
      <c r="G97" s="22"/>
      <c r="H97" s="32" t="str">
        <f aca="false">IF(OR(B97="",F97="",F97=0),"",D97/F97)</f>
        <v/>
      </c>
      <c r="I97" s="14" t="str">
        <f aca="false">IF(OR(B97="",G97="",G97=0),"",D97/G97*1000)</f>
        <v/>
      </c>
    </row>
    <row r="98" customFormat="false" ht="15" hidden="false" customHeight="true" outlineLevel="0" collapsed="false">
      <c r="A98" s="26"/>
      <c r="D98" s="31"/>
      <c r="F98" s="22"/>
      <c r="G98" s="22"/>
      <c r="H98" s="32" t="str">
        <f aca="false">IF(OR(B98="",F98="",F98=0),"",D98/F98)</f>
        <v/>
      </c>
      <c r="I98" s="14" t="str">
        <f aca="false">IF(OR(B98="",G98="",G98=0),"",D98/G98*1000)</f>
        <v/>
      </c>
    </row>
    <row r="99" customFormat="false" ht="15" hidden="false" customHeight="true" outlineLevel="0" collapsed="false">
      <c r="A99" s="26"/>
      <c r="D99" s="31"/>
      <c r="F99" s="22"/>
      <c r="G99" s="22"/>
      <c r="H99" s="32" t="str">
        <f aca="false">IF(OR(B99="",F99="",F99=0),"",D99/F99)</f>
        <v/>
      </c>
      <c r="I99" s="14" t="str">
        <f aca="false">IF(OR(B99="",G99="",G99=0),"",D99/G99*1000)</f>
        <v/>
      </c>
    </row>
    <row r="100" customFormat="false" ht="15" hidden="false" customHeight="true" outlineLevel="0" collapsed="false">
      <c r="A100" s="26"/>
      <c r="D100" s="31"/>
      <c r="F100" s="22"/>
      <c r="G100" s="22"/>
      <c r="H100" s="32" t="str">
        <f aca="false">IF(OR(B100="",F100="",F100=0),"",D100/F100)</f>
        <v/>
      </c>
      <c r="I100" s="14" t="str">
        <f aca="false">IF(OR(B100="",G100="",G100=0),"",D100/G100*1000)</f>
        <v/>
      </c>
    </row>
    <row r="101" customFormat="false" ht="15" hidden="false" customHeight="true" outlineLevel="0" collapsed="false">
      <c r="A101" s="26"/>
      <c r="D101" s="31"/>
      <c r="F101" s="22"/>
      <c r="G101" s="22"/>
      <c r="H101" s="32" t="str">
        <f aca="false">IF(OR(B101="",F101="",F101=0),"",D101/F101)</f>
        <v/>
      </c>
      <c r="I101" s="14" t="str">
        <f aca="false">IF(OR(B101="",G101="",G101=0),"",D101/G101*1000)</f>
        <v/>
      </c>
    </row>
    <row r="102" customFormat="false" ht="15" hidden="false" customHeight="true" outlineLevel="0" collapsed="false">
      <c r="A102" s="26"/>
      <c r="D102" s="31"/>
      <c r="F102" s="22"/>
      <c r="G102" s="22"/>
      <c r="H102" s="32" t="str">
        <f aca="false">IF(OR(B102="",F102="",F102=0),"",D102/F102)</f>
        <v/>
      </c>
      <c r="I102" s="14" t="str">
        <f aca="false">IF(OR(B102="",G102="",G102=0),"",D102/G102*1000)</f>
        <v/>
      </c>
    </row>
    <row r="103" customFormat="false" ht="15" hidden="false" customHeight="true" outlineLevel="0" collapsed="false">
      <c r="A103" s="26"/>
      <c r="D103" s="31"/>
      <c r="F103" s="22"/>
      <c r="G103" s="22"/>
      <c r="H103" s="32" t="str">
        <f aca="false">IF(OR(B103="",F103="",F103=0),"",D103/F103)</f>
        <v/>
      </c>
      <c r="I103" s="14" t="str">
        <f aca="false">IF(OR(B103="",G103="",G103=0),"",D103/G103*1000)</f>
        <v/>
      </c>
    </row>
    <row r="104" customFormat="false" ht="15" hidden="false" customHeight="true" outlineLevel="0" collapsed="false">
      <c r="A104" s="26"/>
      <c r="D104" s="31"/>
      <c r="F104" s="22"/>
      <c r="G104" s="22"/>
      <c r="H104" s="32" t="str">
        <f aca="false">IF(OR(B104="",F104="",F104=0),"",D104/F104)</f>
        <v/>
      </c>
      <c r="I104" s="14" t="str">
        <f aca="false">IF(OR(B104="",G104="",G104=0),"",D104/G104*1000)</f>
        <v/>
      </c>
    </row>
    <row r="105" customFormat="false" ht="15" hidden="false" customHeight="true" outlineLevel="0" collapsed="false">
      <c r="A105" s="26"/>
      <c r="D105" s="31"/>
      <c r="F105" s="22"/>
      <c r="G105" s="22"/>
      <c r="H105" s="32" t="str">
        <f aca="false">IF(OR(B105="",F105="",F105=0),"",D105/F105)</f>
        <v/>
      </c>
      <c r="I105" s="14" t="str">
        <f aca="false">IF(OR(B105="",G105="",G105=0),"",D105/G105*1000)</f>
        <v/>
      </c>
    </row>
    <row r="106" customFormat="false" ht="15" hidden="false" customHeight="true" outlineLevel="0" collapsed="false">
      <c r="A106" s="26"/>
      <c r="D106" s="31"/>
      <c r="F106" s="22"/>
      <c r="G106" s="22"/>
      <c r="H106" s="32" t="str">
        <f aca="false">IF(OR(B106="",F106="",F106=0),"",D106/F106)</f>
        <v/>
      </c>
      <c r="I106" s="14" t="str">
        <f aca="false">IF(OR(B106="",G106="",G106=0),"",D106/G106*1000)</f>
        <v/>
      </c>
    </row>
    <row r="107" customFormat="false" ht="15" hidden="false" customHeight="true" outlineLevel="0" collapsed="false">
      <c r="A107" s="26"/>
      <c r="D107" s="31"/>
      <c r="F107" s="22"/>
      <c r="G107" s="22"/>
      <c r="H107" s="32" t="str">
        <f aca="false">IF(OR(B107="",F107="",F107=0),"",D107/F107)</f>
        <v/>
      </c>
      <c r="I107" s="14" t="str">
        <f aca="false">IF(OR(B107="",G107="",G107=0),"",D107/G107*1000)</f>
        <v/>
      </c>
    </row>
    <row r="108" customFormat="false" ht="15" hidden="false" customHeight="true" outlineLevel="0" collapsed="false">
      <c r="A108" s="26"/>
      <c r="D108" s="31"/>
      <c r="F108" s="22"/>
      <c r="G108" s="22"/>
      <c r="H108" s="32" t="str">
        <f aca="false">IF(OR(B108="",F108="",F108=0),"",D108/F108)</f>
        <v/>
      </c>
      <c r="I108" s="14" t="str">
        <f aca="false">IF(OR(B108="",G108="",G108=0),"",D108/G108*1000)</f>
        <v/>
      </c>
    </row>
    <row r="109" customFormat="false" ht="15" hidden="false" customHeight="true" outlineLevel="0" collapsed="false">
      <c r="A109" s="26"/>
      <c r="D109" s="31"/>
      <c r="F109" s="22"/>
      <c r="G109" s="22"/>
      <c r="H109" s="32" t="str">
        <f aca="false">IF(OR(B109="",F109="",F109=0),"",D109/F109)</f>
        <v/>
      </c>
      <c r="I109" s="14" t="str">
        <f aca="false">IF(OR(B109="",G109="",G109=0),"",D109/G109*1000)</f>
        <v/>
      </c>
    </row>
    <row r="110" customFormat="false" ht="15" hidden="false" customHeight="true" outlineLevel="0" collapsed="false">
      <c r="A110" s="26"/>
      <c r="D110" s="31"/>
      <c r="F110" s="22"/>
      <c r="G110" s="22"/>
      <c r="H110" s="32" t="str">
        <f aca="false">IF(OR(B110="",F110="",F110=0),"",D110/F110)</f>
        <v/>
      </c>
      <c r="I110" s="14" t="str">
        <f aca="false">IF(OR(B110="",G110="",G110=0),"",D110/G110*1000)</f>
        <v/>
      </c>
    </row>
    <row r="111" customFormat="false" ht="15" hidden="false" customHeight="true" outlineLevel="0" collapsed="false">
      <c r="A111" s="26"/>
      <c r="D111" s="31"/>
      <c r="F111" s="22"/>
      <c r="G111" s="22"/>
      <c r="H111" s="32" t="str">
        <f aca="false">IF(OR(B111="",F111="",F111=0),"",D111/F111)</f>
        <v/>
      </c>
      <c r="I111" s="14" t="str">
        <f aca="false">IF(OR(B111="",G111="",G111=0),"",D111/G111*1000)</f>
        <v/>
      </c>
    </row>
    <row r="112" customFormat="false" ht="15" hidden="false" customHeight="true" outlineLevel="0" collapsed="false">
      <c r="A112" s="26"/>
      <c r="D112" s="31"/>
      <c r="F112" s="22"/>
      <c r="G112" s="22"/>
      <c r="H112" s="32" t="str">
        <f aca="false">IF(OR(B112="",F112="",F112=0),"",D112/F112)</f>
        <v/>
      </c>
      <c r="I112" s="14" t="str">
        <f aca="false">IF(OR(B112="",G112="",G112=0),"",D112/G112*1000)</f>
        <v/>
      </c>
    </row>
    <row r="113" customFormat="false" ht="15" hidden="false" customHeight="true" outlineLevel="0" collapsed="false">
      <c r="A113" s="26"/>
      <c r="D113" s="31"/>
      <c r="F113" s="22"/>
      <c r="G113" s="22"/>
      <c r="H113" s="32" t="str">
        <f aca="false">IF(OR(B113="",F113="",F113=0),"",D113/F113)</f>
        <v/>
      </c>
      <c r="I113" s="14" t="str">
        <f aca="false">IF(OR(B113="",G113="",G113=0),"",D113/G113*1000)</f>
        <v/>
      </c>
    </row>
    <row r="114" customFormat="false" ht="15" hidden="false" customHeight="true" outlineLevel="0" collapsed="false">
      <c r="A114" s="26"/>
      <c r="D114" s="31"/>
      <c r="F114" s="22"/>
      <c r="G114" s="22"/>
      <c r="H114" s="32" t="str">
        <f aca="false">IF(OR(B114="",F114="",F114=0),"",D114/F114)</f>
        <v/>
      </c>
      <c r="I114" s="14" t="str">
        <f aca="false">IF(OR(B114="",G114="",G114=0),"",D114/G114*1000)</f>
        <v/>
      </c>
    </row>
    <row r="115" customFormat="false" ht="15" hidden="false" customHeight="true" outlineLevel="0" collapsed="false">
      <c r="A115" s="26"/>
      <c r="D115" s="31"/>
      <c r="F115" s="22"/>
      <c r="G115" s="22"/>
      <c r="H115" s="32" t="str">
        <f aca="false">IF(OR(B115="",F115="",F115=0),"",D115/F115)</f>
        <v/>
      </c>
      <c r="I115" s="14" t="str">
        <f aca="false">IF(OR(B115="",G115="",G115=0),"",D115/G115*1000)</f>
        <v/>
      </c>
    </row>
    <row r="116" customFormat="false" ht="15" hidden="false" customHeight="true" outlineLevel="0" collapsed="false">
      <c r="A116" s="26"/>
      <c r="D116" s="31"/>
      <c r="F116" s="22"/>
      <c r="G116" s="22"/>
      <c r="H116" s="32" t="str">
        <f aca="false">IF(OR(B116="",F116="",F116=0),"",D116/F116)</f>
        <v/>
      </c>
      <c r="I116" s="14" t="str">
        <f aca="false">IF(OR(B116="",G116="",G116=0),"",D116/G116*1000)</f>
        <v/>
      </c>
    </row>
    <row r="117" customFormat="false" ht="15" hidden="false" customHeight="true" outlineLevel="0" collapsed="false">
      <c r="A117" s="26"/>
      <c r="D117" s="31"/>
      <c r="F117" s="22"/>
      <c r="G117" s="22"/>
      <c r="H117" s="32" t="str">
        <f aca="false">IF(OR(B117="",F117="",F117=0),"",D117/F117)</f>
        <v/>
      </c>
      <c r="I117" s="14" t="str">
        <f aca="false">IF(OR(B117="",G117="",G117=0),"",D117/G117*1000)</f>
        <v/>
      </c>
    </row>
    <row r="118" customFormat="false" ht="15" hidden="false" customHeight="true" outlineLevel="0" collapsed="false">
      <c r="A118" s="26"/>
      <c r="D118" s="31"/>
      <c r="F118" s="22"/>
      <c r="G118" s="22"/>
      <c r="H118" s="32" t="str">
        <f aca="false">IF(OR(B118="",F118="",F118=0),"",D118/F118)</f>
        <v/>
      </c>
      <c r="I118" s="14" t="str">
        <f aca="false">IF(OR(B118="",G118="",G118=0),"",D118/G118*1000)</f>
        <v/>
      </c>
    </row>
    <row r="119" customFormat="false" ht="15" hidden="false" customHeight="true" outlineLevel="0" collapsed="false">
      <c r="A119" s="26"/>
      <c r="D119" s="31"/>
      <c r="F119" s="22"/>
      <c r="G119" s="22"/>
      <c r="H119" s="32" t="str">
        <f aca="false">IF(OR(B119="",F119="",F119=0),"",D119/F119)</f>
        <v/>
      </c>
      <c r="I119" s="14" t="str">
        <f aca="false">IF(OR(B119="",G119="",G119=0),"",D119/G119*1000)</f>
        <v/>
      </c>
    </row>
    <row r="120" customFormat="false" ht="15" hidden="false" customHeight="true" outlineLevel="0" collapsed="false">
      <c r="A120" s="26"/>
      <c r="D120" s="31"/>
      <c r="F120" s="22"/>
      <c r="G120" s="22"/>
      <c r="H120" s="32" t="str">
        <f aca="false">IF(OR(B120="",F120="",F120=0),"",D120/F120)</f>
        <v/>
      </c>
      <c r="I120" s="14" t="str">
        <f aca="false">IF(OR(B120="",G120="",G120=0),"",D120/G120*1000)</f>
        <v/>
      </c>
    </row>
    <row r="121" customFormat="false" ht="15" hidden="false" customHeight="true" outlineLevel="0" collapsed="false">
      <c r="A121" s="26"/>
      <c r="D121" s="31"/>
      <c r="F121" s="22"/>
      <c r="G121" s="22"/>
      <c r="H121" s="32" t="str">
        <f aca="false">IF(OR(B121="",F121="",F121=0),"",D121/F121)</f>
        <v/>
      </c>
      <c r="I121" s="14" t="str">
        <f aca="false">IF(OR(B121="",G121="",G121=0),"",D121/G121*1000)</f>
        <v/>
      </c>
    </row>
    <row r="122" customFormat="false" ht="15" hidden="false" customHeight="true" outlineLevel="0" collapsed="false">
      <c r="A122" s="26"/>
      <c r="D122" s="31"/>
      <c r="F122" s="22"/>
      <c r="G122" s="22"/>
      <c r="H122" s="32" t="str">
        <f aca="false">IF(OR(B122="",F122="",F122=0),"",D122/F122)</f>
        <v/>
      </c>
      <c r="I122" s="14" t="str">
        <f aca="false">IF(OR(B122="",G122="",G122=0),"",D122/G122*1000)</f>
        <v/>
      </c>
    </row>
    <row r="123" customFormat="false" ht="15" hidden="false" customHeight="true" outlineLevel="0" collapsed="false">
      <c r="A123" s="26"/>
      <c r="D123" s="31"/>
      <c r="F123" s="22"/>
      <c r="G123" s="22"/>
      <c r="H123" s="32" t="str">
        <f aca="false">IF(OR(B123="",F123="",F123=0),"",D123/F123)</f>
        <v/>
      </c>
      <c r="I123" s="14" t="str">
        <f aca="false">IF(OR(B123="",G123="",G123=0),"",D123/G123*1000)</f>
        <v/>
      </c>
    </row>
    <row r="124" customFormat="false" ht="15" hidden="false" customHeight="true" outlineLevel="0" collapsed="false">
      <c r="A124" s="26"/>
      <c r="D124" s="31"/>
      <c r="F124" s="22"/>
      <c r="G124" s="22"/>
      <c r="H124" s="32" t="str">
        <f aca="false">IF(OR(B124="",F124="",F124=0),"",D124/F124)</f>
        <v/>
      </c>
      <c r="I124" s="14" t="str">
        <f aca="false">IF(OR(B124="",G124="",G124=0),"",D124/G124*1000)</f>
        <v/>
      </c>
    </row>
    <row r="125" customFormat="false" ht="15" hidden="false" customHeight="true" outlineLevel="0" collapsed="false">
      <c r="A125" s="26"/>
      <c r="D125" s="31"/>
      <c r="F125" s="22"/>
      <c r="G125" s="22"/>
      <c r="H125" s="32" t="str">
        <f aca="false">IF(OR(B125="",F125="",F125=0),"",D125/F125)</f>
        <v/>
      </c>
      <c r="I125" s="14" t="str">
        <f aca="false">IF(OR(B125="",G125="",G125=0),"",D125/G125*1000)</f>
        <v/>
      </c>
    </row>
    <row r="126" customFormat="false" ht="15" hidden="false" customHeight="true" outlineLevel="0" collapsed="false">
      <c r="A126" s="26"/>
      <c r="D126" s="31"/>
      <c r="F126" s="22"/>
      <c r="G126" s="22"/>
      <c r="H126" s="32" t="str">
        <f aca="false">IF(OR(B126="",F126="",F126=0),"",D126/F126)</f>
        <v/>
      </c>
      <c r="I126" s="14" t="str">
        <f aca="false">IF(OR(B126="",G126="",G126=0),"",D126/G126*1000)</f>
        <v/>
      </c>
    </row>
    <row r="127" customFormat="false" ht="15" hidden="false" customHeight="true" outlineLevel="0" collapsed="false">
      <c r="A127" s="26"/>
      <c r="D127" s="31"/>
      <c r="F127" s="22"/>
      <c r="G127" s="22"/>
      <c r="H127" s="32" t="str">
        <f aca="false">IF(OR(B127="",F127="",F127=0),"",D127/F127)</f>
        <v/>
      </c>
      <c r="I127" s="14" t="str">
        <f aca="false">IF(OR(B127="",G127="",G127=0),"",D127/G127*1000)</f>
        <v/>
      </c>
    </row>
    <row r="128" customFormat="false" ht="15" hidden="false" customHeight="true" outlineLevel="0" collapsed="false">
      <c r="A128" s="26"/>
      <c r="D128" s="31"/>
      <c r="F128" s="22"/>
      <c r="G128" s="22"/>
      <c r="H128" s="32" t="str">
        <f aca="false">IF(OR(B128="",F128="",F128=0),"",D128/F128)</f>
        <v/>
      </c>
      <c r="I128" s="14" t="str">
        <f aca="false">IF(OR(B128="",G128="",G128=0),"",D128/G128*1000)</f>
        <v/>
      </c>
    </row>
    <row r="129" customFormat="false" ht="15" hidden="false" customHeight="true" outlineLevel="0" collapsed="false">
      <c r="A129" s="26"/>
      <c r="D129" s="31"/>
      <c r="F129" s="22"/>
      <c r="G129" s="22"/>
      <c r="H129" s="32" t="str">
        <f aca="false">IF(OR(B129="",F129="",F129=0),"",D129/F129)</f>
        <v/>
      </c>
      <c r="I129" s="14" t="str">
        <f aca="false">IF(OR(B129="",G129="",G129=0),"",D129/G129*1000)</f>
        <v/>
      </c>
    </row>
    <row r="130" customFormat="false" ht="15" hidden="false" customHeight="true" outlineLevel="0" collapsed="false">
      <c r="A130" s="26"/>
      <c r="D130" s="31"/>
      <c r="F130" s="22"/>
      <c r="G130" s="22"/>
      <c r="H130" s="32" t="str">
        <f aca="false">IF(OR(B130="",F130="",F130=0),"",D130/F130)</f>
        <v/>
      </c>
      <c r="I130" s="14" t="str">
        <f aca="false">IF(OR(B130="",G130="",G130=0),"",D130/G130*1000)</f>
        <v/>
      </c>
    </row>
    <row r="131" customFormat="false" ht="15" hidden="false" customHeight="true" outlineLevel="0" collapsed="false">
      <c r="A131" s="26"/>
      <c r="D131" s="31"/>
      <c r="F131" s="22"/>
      <c r="G131" s="22"/>
      <c r="H131" s="32" t="str">
        <f aca="false">IF(OR(B131="",F131="",F131=0),"",D131/F131)</f>
        <v/>
      </c>
      <c r="I131" s="14" t="str">
        <f aca="false">IF(OR(B131="",G131="",G131=0),"",D131/G131*1000)</f>
        <v/>
      </c>
    </row>
    <row r="132" customFormat="false" ht="15" hidden="false" customHeight="true" outlineLevel="0" collapsed="false">
      <c r="A132" s="26"/>
      <c r="D132" s="31"/>
      <c r="F132" s="22"/>
      <c r="G132" s="22"/>
      <c r="H132" s="32" t="str">
        <f aca="false">IF(OR(B132="",F132="",F132=0),"",D132/F132)</f>
        <v/>
      </c>
      <c r="I132" s="14" t="str">
        <f aca="false">IF(OR(B132="",G132="",G132=0),"",D132/G132*1000)</f>
        <v/>
      </c>
    </row>
    <row r="133" customFormat="false" ht="15" hidden="false" customHeight="true" outlineLevel="0" collapsed="false">
      <c r="A133" s="26"/>
      <c r="D133" s="31"/>
      <c r="F133" s="22"/>
      <c r="G133" s="22"/>
      <c r="H133" s="32" t="str">
        <f aca="false">IF(OR(B133="",F133="",F133=0),"",D133/F133)</f>
        <v/>
      </c>
      <c r="I133" s="14" t="str">
        <f aca="false">IF(OR(B133="",G133="",G133=0),"",D133/G133*1000)</f>
        <v/>
      </c>
    </row>
    <row r="134" customFormat="false" ht="15" hidden="false" customHeight="true" outlineLevel="0" collapsed="false">
      <c r="A134" s="26"/>
      <c r="D134" s="31"/>
      <c r="F134" s="22"/>
      <c r="G134" s="22"/>
      <c r="H134" s="32" t="str">
        <f aca="false">IF(OR(B134="",F134="",F134=0),"",D134/F134)</f>
        <v/>
      </c>
      <c r="I134" s="14" t="str">
        <f aca="false">IF(OR(B134="",G134="",G134=0),"",D134/G134*1000)</f>
        <v/>
      </c>
    </row>
    <row r="135" customFormat="false" ht="15" hidden="false" customHeight="true" outlineLevel="0" collapsed="false">
      <c r="A135" s="26"/>
      <c r="D135" s="31"/>
      <c r="F135" s="22"/>
      <c r="G135" s="22"/>
      <c r="H135" s="32" t="str">
        <f aca="false">IF(OR(B135="",F135="",F135=0),"",D135/F135)</f>
        <v/>
      </c>
      <c r="I135" s="14" t="str">
        <f aca="false">IF(OR(B135="",G135="",G135=0),"",D135/G135*1000)</f>
        <v/>
      </c>
    </row>
    <row r="136" customFormat="false" ht="15" hidden="false" customHeight="true" outlineLevel="0" collapsed="false">
      <c r="A136" s="26"/>
      <c r="D136" s="31"/>
      <c r="F136" s="22"/>
      <c r="G136" s="22"/>
      <c r="H136" s="32" t="str">
        <f aca="false">IF(OR(B136="",F136="",F136=0),"",D136/F136)</f>
        <v/>
      </c>
      <c r="I136" s="14" t="str">
        <f aca="false">IF(OR(B136="",G136="",G136=0),"",D136/G136*1000)</f>
        <v/>
      </c>
    </row>
    <row r="137" customFormat="false" ht="15" hidden="false" customHeight="true" outlineLevel="0" collapsed="false">
      <c r="A137" s="26"/>
      <c r="D137" s="31"/>
      <c r="F137" s="22"/>
      <c r="G137" s="22"/>
      <c r="H137" s="32" t="str">
        <f aca="false">IF(OR(B137="",F137="",F137=0),"",D137/F137)</f>
        <v/>
      </c>
      <c r="I137" s="14" t="str">
        <f aca="false">IF(OR(B137="",G137="",G137=0),"",D137/G137*1000)</f>
        <v/>
      </c>
    </row>
    <row r="138" customFormat="false" ht="15" hidden="false" customHeight="true" outlineLevel="0" collapsed="false">
      <c r="A138" s="26"/>
      <c r="D138" s="31"/>
      <c r="F138" s="22"/>
      <c r="G138" s="22"/>
      <c r="H138" s="32" t="str">
        <f aca="false">IF(OR(B138="",F138="",F138=0),"",D138/F138)</f>
        <v/>
      </c>
      <c r="I138" s="14" t="str">
        <f aca="false">IF(OR(B138="",G138="",G138=0),"",D138/G138*1000)</f>
        <v/>
      </c>
    </row>
    <row r="139" customFormat="false" ht="15" hidden="false" customHeight="true" outlineLevel="0" collapsed="false">
      <c r="A139" s="26"/>
      <c r="D139" s="31"/>
      <c r="F139" s="22"/>
      <c r="G139" s="22"/>
      <c r="H139" s="32" t="str">
        <f aca="false">IF(OR(B139="",F139="",F139=0),"",D139/F139)</f>
        <v/>
      </c>
      <c r="I139" s="14" t="str">
        <f aca="false">IF(OR(B139="",G139="",G139=0),"",D139/G139*1000)</f>
        <v/>
      </c>
    </row>
    <row r="140" customFormat="false" ht="15" hidden="false" customHeight="true" outlineLevel="0" collapsed="false">
      <c r="A140" s="26"/>
      <c r="D140" s="31"/>
      <c r="F140" s="22"/>
      <c r="G140" s="22"/>
      <c r="H140" s="32" t="str">
        <f aca="false">IF(OR(B140="",F140="",F140=0),"",D140/F140)</f>
        <v/>
      </c>
      <c r="I140" s="14" t="str">
        <f aca="false">IF(OR(B140="",G140="",G140=0),"",D140/G140*1000)</f>
        <v/>
      </c>
    </row>
    <row r="141" customFormat="false" ht="15" hidden="false" customHeight="true" outlineLevel="0" collapsed="false">
      <c r="A141" s="26"/>
      <c r="D141" s="31"/>
      <c r="F141" s="22"/>
      <c r="G141" s="22"/>
      <c r="H141" s="32" t="str">
        <f aca="false">IF(OR(B141="",F141="",F141=0),"",D141/F141)</f>
        <v/>
      </c>
      <c r="I141" s="14" t="str">
        <f aca="false">IF(OR(B141="",G141="",G141=0),"",D141/G141*1000)</f>
        <v/>
      </c>
    </row>
    <row r="142" customFormat="false" ht="15" hidden="false" customHeight="true" outlineLevel="0" collapsed="false">
      <c r="A142" s="26"/>
      <c r="D142" s="31"/>
      <c r="F142" s="22"/>
      <c r="G142" s="22"/>
      <c r="H142" s="32" t="str">
        <f aca="false">IF(OR(B142="",F142="",F142=0),"",D142/F142)</f>
        <v/>
      </c>
      <c r="I142" s="14" t="str">
        <f aca="false">IF(OR(B142="",G142="",G142=0),"",D142/G142*1000)</f>
        <v/>
      </c>
    </row>
    <row r="143" customFormat="false" ht="15" hidden="false" customHeight="true" outlineLevel="0" collapsed="false">
      <c r="A143" s="26"/>
      <c r="D143" s="31"/>
      <c r="F143" s="22"/>
      <c r="G143" s="22"/>
      <c r="H143" s="32" t="str">
        <f aca="false">IF(OR(B143="",F143="",F143=0),"",D143/F143)</f>
        <v/>
      </c>
      <c r="I143" s="14" t="str">
        <f aca="false">IF(OR(B143="",G143="",G143=0),"",D143/G143*1000)</f>
        <v/>
      </c>
    </row>
    <row r="144" customFormat="false" ht="15" hidden="false" customHeight="true" outlineLevel="0" collapsed="false">
      <c r="A144" s="26"/>
      <c r="D144" s="31"/>
      <c r="F144" s="22"/>
      <c r="G144" s="22"/>
      <c r="H144" s="32" t="str">
        <f aca="false">IF(OR(B144="",F144="",F144=0),"",D144/F144)</f>
        <v/>
      </c>
      <c r="I144" s="14" t="str">
        <f aca="false">IF(OR(B144="",G144="",G144=0),"",D144/G144*1000)</f>
        <v/>
      </c>
    </row>
    <row r="145" customFormat="false" ht="15" hidden="false" customHeight="true" outlineLevel="0" collapsed="false">
      <c r="A145" s="26"/>
      <c r="D145" s="31"/>
      <c r="F145" s="22"/>
      <c r="G145" s="22"/>
      <c r="H145" s="32" t="str">
        <f aca="false">IF(OR(B145="",F145="",F145=0),"",D145/F145)</f>
        <v/>
      </c>
      <c r="I145" s="14" t="str">
        <f aca="false">IF(OR(B145="",G145="",G145=0),"",D145/G145*1000)</f>
        <v/>
      </c>
    </row>
    <row r="146" customFormat="false" ht="15" hidden="false" customHeight="true" outlineLevel="0" collapsed="false">
      <c r="A146" s="26"/>
      <c r="D146" s="31"/>
      <c r="F146" s="22"/>
      <c r="G146" s="22"/>
      <c r="H146" s="32" t="str">
        <f aca="false">IF(OR(B146="",F146="",F146=0),"",D146/F146)</f>
        <v/>
      </c>
      <c r="I146" s="14" t="str">
        <f aca="false">IF(OR(B146="",G146="",G146=0),"",D146/G146*1000)</f>
        <v/>
      </c>
    </row>
    <row r="147" customFormat="false" ht="15" hidden="false" customHeight="true" outlineLevel="0" collapsed="false">
      <c r="A147" s="26"/>
      <c r="D147" s="31"/>
      <c r="F147" s="22"/>
      <c r="G147" s="22"/>
      <c r="H147" s="32" t="str">
        <f aca="false">IF(OR(B147="",F147="",F147=0),"",D147/F147)</f>
        <v/>
      </c>
      <c r="I147" s="14" t="str">
        <f aca="false">IF(OR(B147="",G147="",G147=0),"",D147/G147*1000)</f>
        <v/>
      </c>
    </row>
    <row r="148" customFormat="false" ht="15" hidden="false" customHeight="true" outlineLevel="0" collapsed="false">
      <c r="A148" s="26"/>
      <c r="D148" s="31"/>
      <c r="F148" s="22"/>
      <c r="G148" s="22"/>
      <c r="H148" s="32" t="str">
        <f aca="false">IF(OR(B148="",F148="",F148=0),"",D148/F148)</f>
        <v/>
      </c>
      <c r="I148" s="14" t="str">
        <f aca="false">IF(OR(B148="",G148="",G148=0),"",D148/G148*1000)</f>
        <v/>
      </c>
    </row>
    <row r="149" customFormat="false" ht="15" hidden="false" customHeight="true" outlineLevel="0" collapsed="false">
      <c r="A149" s="26"/>
      <c r="D149" s="31"/>
      <c r="F149" s="22"/>
      <c r="G149" s="22"/>
      <c r="H149" s="32" t="str">
        <f aca="false">IF(OR(B149="",F149="",F149=0),"",D149/F149)</f>
        <v/>
      </c>
      <c r="I149" s="14" t="str">
        <f aca="false">IF(OR(B149="",G149="",G149=0),"",D149/G149*1000)</f>
        <v/>
      </c>
    </row>
    <row r="150" customFormat="false" ht="15" hidden="false" customHeight="true" outlineLevel="0" collapsed="false">
      <c r="A150" s="26"/>
      <c r="D150" s="31"/>
      <c r="F150" s="22"/>
      <c r="G150" s="22"/>
      <c r="H150" s="32" t="str">
        <f aca="false">IF(OR(B150="",F150="",F150=0),"",D150/F150)</f>
        <v/>
      </c>
      <c r="I150" s="14" t="str">
        <f aca="false">IF(OR(B150="",G150="",G150=0),"",D150/G150*1000)</f>
        <v/>
      </c>
    </row>
    <row r="151" customFormat="false" ht="15" hidden="false" customHeight="true" outlineLevel="0" collapsed="false">
      <c r="A151" s="26"/>
      <c r="D151" s="31"/>
      <c r="F151" s="22"/>
      <c r="G151" s="22"/>
      <c r="H151" s="32" t="str">
        <f aca="false">IF(OR(B151="",F151="",F151=0),"",D151/F151)</f>
        <v/>
      </c>
      <c r="I151" s="14" t="str">
        <f aca="false">IF(OR(B151="",G151="",G151=0),"",D151/G151*1000)</f>
        <v/>
      </c>
    </row>
    <row r="152" customFormat="false" ht="15" hidden="false" customHeight="true" outlineLevel="0" collapsed="false">
      <c r="A152" s="26"/>
      <c r="D152" s="31"/>
      <c r="F152" s="22"/>
      <c r="G152" s="22"/>
      <c r="H152" s="32" t="str">
        <f aca="false">IF(OR(B152="",F152="",F152=0),"",D152/F152)</f>
        <v/>
      </c>
      <c r="I152" s="14" t="str">
        <f aca="false">IF(OR(B152="",G152="",G152=0),"",D152/G152*1000)</f>
        <v/>
      </c>
    </row>
    <row r="153" customFormat="false" ht="15" hidden="false" customHeight="true" outlineLevel="0" collapsed="false">
      <c r="A153" s="26"/>
      <c r="D153" s="31"/>
      <c r="F153" s="22"/>
      <c r="G153" s="22"/>
      <c r="H153" s="32" t="str">
        <f aca="false">IF(OR(B153="",F153="",F153=0),"",D153/F153)</f>
        <v/>
      </c>
      <c r="I153" s="14" t="str">
        <f aca="false">IF(OR(B153="",G153="",G153=0),"",D153/G153*1000)</f>
        <v/>
      </c>
    </row>
    <row r="154" customFormat="false" ht="15" hidden="false" customHeight="true" outlineLevel="0" collapsed="false">
      <c r="A154" s="26"/>
      <c r="D154" s="31"/>
      <c r="F154" s="22"/>
      <c r="G154" s="22"/>
      <c r="H154" s="32" t="str">
        <f aca="false">IF(OR(B154="",F154="",F154=0),"",D154/F154)</f>
        <v/>
      </c>
      <c r="I154" s="14" t="str">
        <f aca="false">IF(OR(B154="",G154="",G154=0),"",D154/G154*1000)</f>
        <v/>
      </c>
    </row>
    <row r="155" customFormat="false" ht="15" hidden="false" customHeight="true" outlineLevel="0" collapsed="false">
      <c r="A155" s="26"/>
      <c r="D155" s="31"/>
      <c r="F155" s="22"/>
      <c r="G155" s="22"/>
      <c r="H155" s="32" t="str">
        <f aca="false">IF(OR(B155="",F155="",F155=0),"",D155/F155)</f>
        <v/>
      </c>
      <c r="I155" s="14" t="str">
        <f aca="false">IF(OR(B155="",G155="",G155=0),"",D155/G155*1000)</f>
        <v/>
      </c>
    </row>
    <row r="156" customFormat="false" ht="15" hidden="false" customHeight="true" outlineLevel="0" collapsed="false">
      <c r="A156" s="26"/>
      <c r="D156" s="31"/>
      <c r="F156" s="22"/>
      <c r="G156" s="22"/>
      <c r="H156" s="32" t="str">
        <f aca="false">IF(OR(B156="",F156="",F156=0),"",D156/F156)</f>
        <v/>
      </c>
      <c r="I156" s="14" t="str">
        <f aca="false">IF(OR(B156="",G156="",G156=0),"",D156/G156*1000)</f>
        <v/>
      </c>
    </row>
    <row r="157" customFormat="false" ht="15" hidden="false" customHeight="true" outlineLevel="0" collapsed="false">
      <c r="A157" s="26"/>
      <c r="D157" s="31"/>
      <c r="F157" s="22"/>
      <c r="G157" s="22"/>
      <c r="H157" s="32" t="str">
        <f aca="false">IF(OR(B157="",F157="",F157=0),"",D157/F157)</f>
        <v/>
      </c>
      <c r="I157" s="14" t="str">
        <f aca="false">IF(OR(B157="",G157="",G157=0),"",D157/G157*1000)</f>
        <v/>
      </c>
    </row>
    <row r="158" customFormat="false" ht="15" hidden="false" customHeight="true" outlineLevel="0" collapsed="false">
      <c r="A158" s="26"/>
      <c r="D158" s="31"/>
      <c r="F158" s="22"/>
      <c r="G158" s="22"/>
      <c r="H158" s="32" t="str">
        <f aca="false">IF(OR(B158="",F158="",F158=0),"",D158/F158)</f>
        <v/>
      </c>
      <c r="I158" s="14" t="str">
        <f aca="false">IF(OR(B158="",G158="",G158=0),"",D158/G158*1000)</f>
        <v/>
      </c>
    </row>
    <row r="159" customFormat="false" ht="15" hidden="false" customHeight="true" outlineLevel="0" collapsed="false">
      <c r="A159" s="26"/>
      <c r="D159" s="31"/>
      <c r="F159" s="22"/>
      <c r="G159" s="22"/>
      <c r="H159" s="32" t="str">
        <f aca="false">IF(OR(B159="",F159="",F159=0),"",D159/F159)</f>
        <v/>
      </c>
      <c r="I159" s="14" t="str">
        <f aca="false">IF(OR(B159="",G159="",G159=0),"",D159/G159*1000)</f>
        <v/>
      </c>
    </row>
    <row r="160" customFormat="false" ht="15" hidden="false" customHeight="true" outlineLevel="0" collapsed="false">
      <c r="A160" s="26"/>
      <c r="D160" s="31"/>
      <c r="F160" s="22"/>
      <c r="G160" s="22"/>
      <c r="H160" s="32" t="str">
        <f aca="false">IF(OR(B160="",F160="",F160=0),"",D160/F160)</f>
        <v/>
      </c>
      <c r="I160" s="14" t="str">
        <f aca="false">IF(OR(B160="",G160="",G160=0),"",D160/G160*1000)</f>
        <v/>
      </c>
    </row>
    <row r="161" customFormat="false" ht="15" hidden="false" customHeight="true" outlineLevel="0" collapsed="false">
      <c r="A161" s="26"/>
      <c r="D161" s="31"/>
      <c r="F161" s="22"/>
      <c r="G161" s="22"/>
      <c r="H161" s="32" t="str">
        <f aca="false">IF(OR(B161="",F161="",F161=0),"",D161/F161)</f>
        <v/>
      </c>
      <c r="I161" s="14" t="str">
        <f aca="false">IF(OR(B161="",G161="",G161=0),"",D161/G161*1000)</f>
        <v/>
      </c>
    </row>
    <row r="162" customFormat="false" ht="15" hidden="false" customHeight="true" outlineLevel="0" collapsed="false">
      <c r="A162" s="26"/>
      <c r="D162" s="31"/>
      <c r="F162" s="22"/>
      <c r="G162" s="22"/>
      <c r="H162" s="32" t="str">
        <f aca="false">IF(OR(B162="",F162="",F162=0),"",D162/F162)</f>
        <v/>
      </c>
      <c r="I162" s="14" t="str">
        <f aca="false">IF(OR(B162="",G162="",G162=0),"",D162/G162*1000)</f>
        <v/>
      </c>
    </row>
    <row r="163" customFormat="false" ht="15" hidden="false" customHeight="true" outlineLevel="0" collapsed="false">
      <c r="A163" s="26"/>
      <c r="D163" s="31"/>
      <c r="F163" s="22"/>
      <c r="G163" s="22"/>
      <c r="H163" s="32" t="str">
        <f aca="false">IF(OR(B163="",F163="",F163=0),"",D163/F163)</f>
        <v/>
      </c>
      <c r="I163" s="14" t="str">
        <f aca="false">IF(OR(B163="",G163="",G163=0),"",D163/G163*1000)</f>
        <v/>
      </c>
    </row>
    <row r="164" customFormat="false" ht="15" hidden="false" customHeight="true" outlineLevel="0" collapsed="false">
      <c r="A164" s="26"/>
      <c r="D164" s="31"/>
      <c r="F164" s="22"/>
      <c r="G164" s="22"/>
      <c r="H164" s="32" t="str">
        <f aca="false">IF(OR(B164="",F164="",F164=0),"",D164/F164)</f>
        <v/>
      </c>
      <c r="I164" s="14" t="str">
        <f aca="false">IF(OR(B164="",G164="",G164=0),"",D164/G164*1000)</f>
        <v/>
      </c>
    </row>
    <row r="165" customFormat="false" ht="15" hidden="false" customHeight="true" outlineLevel="0" collapsed="false">
      <c r="A165" s="26"/>
      <c r="D165" s="31"/>
      <c r="F165" s="22"/>
      <c r="G165" s="22"/>
      <c r="H165" s="32" t="str">
        <f aca="false">IF(OR(B165="",F165="",F165=0),"",D165/F165)</f>
        <v/>
      </c>
      <c r="I165" s="14" t="str">
        <f aca="false">IF(OR(B165="",G165="",G165=0),"",D165/G165*1000)</f>
        <v/>
      </c>
    </row>
    <row r="166" customFormat="false" ht="15" hidden="false" customHeight="true" outlineLevel="0" collapsed="false">
      <c r="A166" s="26"/>
      <c r="D166" s="31"/>
      <c r="F166" s="22"/>
      <c r="G166" s="22"/>
      <c r="H166" s="32" t="str">
        <f aca="false">IF(OR(B166="",F166="",F166=0),"",D166/F166)</f>
        <v/>
      </c>
      <c r="I166" s="14" t="str">
        <f aca="false">IF(OR(B166="",G166="",G166=0),"",D166/G166*1000)</f>
        <v/>
      </c>
    </row>
    <row r="167" customFormat="false" ht="15" hidden="false" customHeight="true" outlineLevel="0" collapsed="false">
      <c r="A167" s="26"/>
      <c r="D167" s="31"/>
      <c r="F167" s="22"/>
      <c r="G167" s="22"/>
      <c r="H167" s="32" t="str">
        <f aca="false">IF(OR(B167="",F167="",F167=0),"",D167/F167)</f>
        <v/>
      </c>
      <c r="I167" s="14" t="str">
        <f aca="false">IF(OR(B167="",G167="",G167=0),"",D167/G167*1000)</f>
        <v/>
      </c>
    </row>
    <row r="168" customFormat="false" ht="15" hidden="false" customHeight="true" outlineLevel="0" collapsed="false">
      <c r="A168" s="26"/>
      <c r="D168" s="31"/>
      <c r="F168" s="22"/>
      <c r="G168" s="22"/>
      <c r="H168" s="32" t="str">
        <f aca="false">IF(OR(B168="",F168="",F168=0),"",D168/F168)</f>
        <v/>
      </c>
      <c r="I168" s="14" t="str">
        <f aca="false">IF(OR(B168="",G168="",G168=0),"",D168/G168*1000)</f>
        <v/>
      </c>
    </row>
    <row r="169" customFormat="false" ht="15" hidden="false" customHeight="true" outlineLevel="0" collapsed="false">
      <c r="A169" s="26"/>
      <c r="D169" s="31"/>
      <c r="F169" s="22"/>
      <c r="G169" s="22"/>
      <c r="H169" s="32" t="str">
        <f aca="false">IF(OR(B169="",F169="",F169=0),"",D169/F169)</f>
        <v/>
      </c>
      <c r="I169" s="14" t="str">
        <f aca="false">IF(OR(B169="",G169="",G169=0),"",D169/G169*1000)</f>
        <v/>
      </c>
    </row>
    <row r="170" customFormat="false" ht="15" hidden="false" customHeight="true" outlineLevel="0" collapsed="false">
      <c r="A170" s="26"/>
      <c r="D170" s="31"/>
      <c r="F170" s="22"/>
      <c r="G170" s="22"/>
      <c r="H170" s="32" t="str">
        <f aca="false">IF(OR(B170="",F170="",F170=0),"",D170/F170)</f>
        <v/>
      </c>
      <c r="I170" s="14" t="str">
        <f aca="false">IF(OR(B170="",G170="",G170=0),"",D170/G170*1000)</f>
        <v/>
      </c>
    </row>
    <row r="171" customFormat="false" ht="15" hidden="false" customHeight="true" outlineLevel="0" collapsed="false">
      <c r="A171" s="26"/>
      <c r="D171" s="31"/>
      <c r="F171" s="22"/>
      <c r="G171" s="22"/>
      <c r="H171" s="32" t="str">
        <f aca="false">IF(OR(B171="",F171="",F171=0),"",D171/F171)</f>
        <v/>
      </c>
      <c r="I171" s="14" t="str">
        <f aca="false">IF(OR(B171="",G171="",G171=0),"",D171/G171*1000)</f>
        <v/>
      </c>
    </row>
    <row r="172" customFormat="false" ht="15" hidden="false" customHeight="true" outlineLevel="0" collapsed="false">
      <c r="A172" s="26"/>
      <c r="D172" s="31"/>
      <c r="F172" s="22"/>
      <c r="G172" s="22"/>
      <c r="H172" s="32" t="str">
        <f aca="false">IF(OR(B172="",F172="",F172=0),"",D172/F172)</f>
        <v/>
      </c>
      <c r="I172" s="14" t="str">
        <f aca="false">IF(OR(B172="",G172="",G172=0),"",D172/G172*1000)</f>
        <v/>
      </c>
    </row>
    <row r="173" customFormat="false" ht="15" hidden="false" customHeight="true" outlineLevel="0" collapsed="false">
      <c r="A173" s="26"/>
      <c r="D173" s="31"/>
      <c r="F173" s="22"/>
      <c r="G173" s="22"/>
      <c r="H173" s="32" t="str">
        <f aca="false">IF(OR(B173="",F173="",F173=0),"",D173/F173)</f>
        <v/>
      </c>
      <c r="I173" s="14" t="str">
        <f aca="false">IF(OR(B173="",G173="",G173=0),"",D173/G173*1000)</f>
        <v/>
      </c>
    </row>
    <row r="174" customFormat="false" ht="15" hidden="false" customHeight="true" outlineLevel="0" collapsed="false">
      <c r="A174" s="26"/>
      <c r="D174" s="31"/>
      <c r="F174" s="22"/>
      <c r="G174" s="22"/>
      <c r="H174" s="32" t="str">
        <f aca="false">IF(OR(B174="",F174="",F174=0),"",D174/F174)</f>
        <v/>
      </c>
      <c r="I174" s="14" t="str">
        <f aca="false">IF(OR(B174="",G174="",G174=0),"",D174/G174*1000)</f>
        <v/>
      </c>
    </row>
    <row r="175" customFormat="false" ht="15" hidden="false" customHeight="true" outlineLevel="0" collapsed="false">
      <c r="A175" s="26"/>
      <c r="D175" s="31"/>
      <c r="F175" s="22"/>
      <c r="G175" s="22"/>
      <c r="H175" s="32" t="str">
        <f aca="false">IF(OR(B175="",F175="",F175=0),"",D175/F175)</f>
        <v/>
      </c>
      <c r="I175" s="14" t="str">
        <f aca="false">IF(OR(B175="",G175="",G175=0),"",D175/G175*1000)</f>
        <v/>
      </c>
    </row>
    <row r="176" customFormat="false" ht="15" hidden="false" customHeight="true" outlineLevel="0" collapsed="false">
      <c r="A176" s="26"/>
      <c r="D176" s="31"/>
      <c r="F176" s="22"/>
      <c r="G176" s="22"/>
      <c r="H176" s="32" t="str">
        <f aca="false">IF(OR(B176="",F176="",F176=0),"",D176/F176)</f>
        <v/>
      </c>
      <c r="I176" s="14" t="str">
        <f aca="false">IF(OR(B176="",G176="",G176=0),"",D176/G176*1000)</f>
        <v/>
      </c>
    </row>
    <row r="177" customFormat="false" ht="15" hidden="false" customHeight="true" outlineLevel="0" collapsed="false">
      <c r="A177" s="26"/>
      <c r="D177" s="31"/>
      <c r="F177" s="22"/>
      <c r="G177" s="22"/>
      <c r="H177" s="32" t="str">
        <f aca="false">IF(OR(B177="",F177="",F177=0),"",D177/F177)</f>
        <v/>
      </c>
      <c r="I177" s="14" t="str">
        <f aca="false">IF(OR(B177="",G177="",G177=0),"",D177/G177*1000)</f>
        <v/>
      </c>
    </row>
    <row r="178" customFormat="false" ht="15" hidden="false" customHeight="true" outlineLevel="0" collapsed="false">
      <c r="A178" s="26"/>
      <c r="D178" s="31"/>
      <c r="F178" s="22"/>
      <c r="G178" s="22"/>
      <c r="H178" s="32" t="str">
        <f aca="false">IF(OR(B178="",F178="",F178=0),"",D178/F178)</f>
        <v/>
      </c>
      <c r="I178" s="14" t="str">
        <f aca="false">IF(OR(B178="",G178="",G178=0),"",D178/G178*1000)</f>
        <v/>
      </c>
    </row>
    <row r="179" customFormat="false" ht="15" hidden="false" customHeight="true" outlineLevel="0" collapsed="false">
      <c r="A179" s="26"/>
      <c r="D179" s="31"/>
      <c r="F179" s="22"/>
      <c r="G179" s="22"/>
      <c r="H179" s="32" t="str">
        <f aca="false">IF(OR(B179="",F179="",F179=0),"",D179/F179)</f>
        <v/>
      </c>
      <c r="I179" s="14" t="str">
        <f aca="false">IF(OR(B179="",G179="",G179=0),"",D179/G179*1000)</f>
        <v/>
      </c>
    </row>
    <row r="180" customFormat="false" ht="15" hidden="false" customHeight="true" outlineLevel="0" collapsed="false">
      <c r="A180" s="26"/>
      <c r="D180" s="31"/>
      <c r="F180" s="22"/>
      <c r="G180" s="22"/>
      <c r="H180" s="32" t="str">
        <f aca="false">IF(OR(B180="",F180="",F180=0),"",D180/F180)</f>
        <v/>
      </c>
      <c r="I180" s="14" t="str">
        <f aca="false">IF(OR(B180="",G180="",G180=0),"",D180/G180*1000)</f>
        <v/>
      </c>
    </row>
    <row r="181" customFormat="false" ht="15" hidden="false" customHeight="true" outlineLevel="0" collapsed="false">
      <c r="A181" s="26"/>
      <c r="D181" s="31"/>
      <c r="F181" s="22"/>
      <c r="G181" s="22"/>
      <c r="H181" s="32" t="str">
        <f aca="false">IF(OR(B181="",F181="",F181=0),"",D181/F181)</f>
        <v/>
      </c>
      <c r="I181" s="14" t="str">
        <f aca="false">IF(OR(B181="",G181="",G181=0),"",D181/G181*1000)</f>
        <v/>
      </c>
    </row>
    <row r="182" customFormat="false" ht="15" hidden="false" customHeight="true" outlineLevel="0" collapsed="false">
      <c r="A182" s="26"/>
      <c r="D182" s="31"/>
      <c r="F182" s="22"/>
      <c r="G182" s="22"/>
      <c r="H182" s="32" t="str">
        <f aca="false">IF(OR(B182="",F182="",F182=0),"",D182/F182)</f>
        <v/>
      </c>
      <c r="I182" s="14" t="str">
        <f aca="false">IF(OR(B182="",G182="",G182=0),"",D182/G182*1000)</f>
        <v/>
      </c>
    </row>
    <row r="183" customFormat="false" ht="15" hidden="false" customHeight="true" outlineLevel="0" collapsed="false">
      <c r="A183" s="26"/>
      <c r="D183" s="31"/>
      <c r="F183" s="22"/>
      <c r="G183" s="22"/>
      <c r="H183" s="32" t="str">
        <f aca="false">IF(OR(B183="",F183="",F183=0),"",D183/F183)</f>
        <v/>
      </c>
      <c r="I183" s="14" t="str">
        <f aca="false">IF(OR(B183="",G183="",G183=0),"",D183/G183*1000)</f>
        <v/>
      </c>
    </row>
    <row r="184" customFormat="false" ht="15" hidden="false" customHeight="true" outlineLevel="0" collapsed="false">
      <c r="A184" s="26"/>
      <c r="D184" s="31"/>
      <c r="F184" s="22"/>
      <c r="G184" s="22"/>
      <c r="H184" s="32" t="str">
        <f aca="false">IF(OR(B184="",F184="",F184=0),"",D184/F184)</f>
        <v/>
      </c>
      <c r="I184" s="14" t="str">
        <f aca="false">IF(OR(B184="",G184="",G184=0),"",D184/G184*1000)</f>
        <v/>
      </c>
    </row>
    <row r="185" customFormat="false" ht="15" hidden="false" customHeight="true" outlineLevel="0" collapsed="false">
      <c r="A185" s="26"/>
      <c r="D185" s="31"/>
      <c r="F185" s="22"/>
      <c r="G185" s="22"/>
      <c r="H185" s="32" t="str">
        <f aca="false">IF(OR(B185="",F185="",F185=0),"",D185/F185)</f>
        <v/>
      </c>
      <c r="I185" s="14" t="str">
        <f aca="false">IF(OR(B185="",G185="",G185=0),"",D185/G185*1000)</f>
        <v/>
      </c>
    </row>
    <row r="186" customFormat="false" ht="15" hidden="false" customHeight="true" outlineLevel="0" collapsed="false">
      <c r="A186" s="26"/>
      <c r="D186" s="31"/>
      <c r="F186" s="22"/>
      <c r="G186" s="22"/>
      <c r="H186" s="32" t="str">
        <f aca="false">IF(OR(B186="",F186="",F186=0),"",D186/F186)</f>
        <v/>
      </c>
      <c r="I186" s="14" t="str">
        <f aca="false">IF(OR(B186="",G186="",G186=0),"",D186/G186*1000)</f>
        <v/>
      </c>
    </row>
    <row r="187" customFormat="false" ht="15" hidden="false" customHeight="true" outlineLevel="0" collapsed="false">
      <c r="A187" s="26"/>
      <c r="D187" s="31"/>
      <c r="F187" s="22"/>
      <c r="G187" s="22"/>
      <c r="H187" s="32" t="str">
        <f aca="false">IF(OR(B187="",F187="",F187=0),"",D187/F187)</f>
        <v/>
      </c>
      <c r="I187" s="14" t="str">
        <f aca="false">IF(OR(B187="",G187="",G187=0),"",D187/G187*1000)</f>
        <v/>
      </c>
    </row>
    <row r="188" customFormat="false" ht="15" hidden="false" customHeight="true" outlineLevel="0" collapsed="false">
      <c r="A188" s="26"/>
      <c r="D188" s="31"/>
      <c r="F188" s="22"/>
      <c r="G188" s="22"/>
      <c r="H188" s="32" t="str">
        <f aca="false">IF(OR(B188="",F188="",F188=0),"",D188/F188)</f>
        <v/>
      </c>
      <c r="I188" s="14" t="str">
        <f aca="false">IF(OR(B188="",G188="",G188=0),"",D188/G188*1000)</f>
        <v/>
      </c>
    </row>
    <row r="189" customFormat="false" ht="15" hidden="false" customHeight="true" outlineLevel="0" collapsed="false">
      <c r="A189" s="26"/>
      <c r="D189" s="31"/>
      <c r="F189" s="22"/>
      <c r="G189" s="22"/>
      <c r="H189" s="32" t="str">
        <f aca="false">IF(OR(B189="",F189="",F189=0),"",D189/F189)</f>
        <v/>
      </c>
      <c r="I189" s="14" t="str">
        <f aca="false">IF(OR(B189="",G189="",G189=0),"",D189/G189*1000)</f>
        <v/>
      </c>
    </row>
    <row r="190" customFormat="false" ht="15" hidden="false" customHeight="true" outlineLevel="0" collapsed="false">
      <c r="A190" s="26"/>
      <c r="D190" s="31"/>
      <c r="F190" s="22"/>
      <c r="G190" s="22"/>
      <c r="H190" s="32" t="str">
        <f aca="false">IF(OR(B190="",F190="",F190=0),"",D190/F190)</f>
        <v/>
      </c>
      <c r="I190" s="14" t="str">
        <f aca="false">IF(OR(B190="",G190="",G190=0),"",D190/G190*1000)</f>
        <v/>
      </c>
    </row>
    <row r="191" customFormat="false" ht="15" hidden="false" customHeight="true" outlineLevel="0" collapsed="false">
      <c r="A191" s="26"/>
      <c r="D191" s="31"/>
      <c r="F191" s="22"/>
      <c r="G191" s="22"/>
      <c r="H191" s="32" t="str">
        <f aca="false">IF(OR(B191="",F191="",F191=0),"",D191/F191)</f>
        <v/>
      </c>
      <c r="I191" s="14" t="str">
        <f aca="false">IF(OR(B191="",G191="",G191=0),"",D191/G191*1000)</f>
        <v/>
      </c>
    </row>
    <row r="192" customFormat="false" ht="15" hidden="false" customHeight="true" outlineLevel="0" collapsed="false">
      <c r="A192" s="26"/>
      <c r="D192" s="31"/>
      <c r="F192" s="22"/>
      <c r="G192" s="22"/>
      <c r="H192" s="32" t="str">
        <f aca="false">IF(OR(B192="",F192="",F192=0),"",D192/F192)</f>
        <v/>
      </c>
      <c r="I192" s="14" t="str">
        <f aca="false">IF(OR(B192="",G192="",G192=0),"",D192/G192*1000)</f>
        <v/>
      </c>
    </row>
    <row r="193" customFormat="false" ht="15" hidden="false" customHeight="true" outlineLevel="0" collapsed="false">
      <c r="A193" s="26"/>
      <c r="D193" s="31"/>
      <c r="F193" s="22"/>
      <c r="G193" s="22"/>
      <c r="H193" s="32" t="str">
        <f aca="false">IF(OR(B193="",F193="",F193=0),"",D193/F193)</f>
        <v/>
      </c>
      <c r="I193" s="14" t="str">
        <f aca="false">IF(OR(B193="",G193="",G193=0),"",D193/G193*1000)</f>
        <v/>
      </c>
    </row>
    <row r="194" customFormat="false" ht="15" hidden="false" customHeight="true" outlineLevel="0" collapsed="false">
      <c r="A194" s="26"/>
      <c r="D194" s="31"/>
      <c r="F194" s="22"/>
      <c r="G194" s="22"/>
      <c r="H194" s="32" t="str">
        <f aca="false">IF(OR(B194="",F194="",F194=0),"",D194/F194)</f>
        <v/>
      </c>
      <c r="I194" s="14" t="str">
        <f aca="false">IF(OR(B194="",G194="",G194=0),"",D194/G194*1000)</f>
        <v/>
      </c>
    </row>
    <row r="195" customFormat="false" ht="15" hidden="false" customHeight="true" outlineLevel="0" collapsed="false">
      <c r="A195" s="26"/>
      <c r="D195" s="31"/>
      <c r="F195" s="22"/>
      <c r="G195" s="22"/>
      <c r="H195" s="32" t="str">
        <f aca="false">IF(OR(B195="",F195="",F195=0),"",D195/F195)</f>
        <v/>
      </c>
      <c r="I195" s="14" t="str">
        <f aca="false">IF(OR(B195="",G195="",G195=0),"",D195/G195*1000)</f>
        <v/>
      </c>
    </row>
    <row r="196" customFormat="false" ht="15" hidden="false" customHeight="true" outlineLevel="0" collapsed="false">
      <c r="A196" s="26"/>
      <c r="D196" s="31"/>
      <c r="F196" s="22"/>
      <c r="G196" s="22"/>
      <c r="H196" s="32" t="str">
        <f aca="false">IF(OR(B196="",F196="",F196=0),"",D196/F196)</f>
        <v/>
      </c>
      <c r="I196" s="14" t="str">
        <f aca="false">IF(OR(B196="",G196="",G196=0),"",D196/G196*1000)</f>
        <v/>
      </c>
    </row>
    <row r="197" customFormat="false" ht="15" hidden="false" customHeight="true" outlineLevel="0" collapsed="false">
      <c r="A197" s="26"/>
      <c r="D197" s="31"/>
      <c r="F197" s="22"/>
      <c r="G197" s="22"/>
      <c r="H197" s="32" t="str">
        <f aca="false">IF(OR(B197="",F197="",F197=0),"",D197/F197)</f>
        <v/>
      </c>
      <c r="I197" s="14" t="str">
        <f aca="false">IF(OR(B197="",G197="",G197=0),"",D197/G197*1000)</f>
        <v/>
      </c>
    </row>
    <row r="198" customFormat="false" ht="15" hidden="false" customHeight="true" outlineLevel="0" collapsed="false">
      <c r="A198" s="26"/>
      <c r="D198" s="31"/>
      <c r="F198" s="22"/>
      <c r="G198" s="22"/>
      <c r="H198" s="32" t="str">
        <f aca="false">IF(OR(B198="",F198="",F198=0),"",D198/F198)</f>
        <v/>
      </c>
      <c r="I198" s="14" t="str">
        <f aca="false">IF(OR(B198="",G198="",G198=0),"",D198/G198*1000)</f>
        <v/>
      </c>
    </row>
    <row r="199" customFormat="false" ht="15" hidden="false" customHeight="true" outlineLevel="0" collapsed="false">
      <c r="A199" s="26"/>
      <c r="D199" s="31"/>
      <c r="F199" s="22"/>
      <c r="G199" s="22"/>
      <c r="H199" s="32" t="str">
        <f aca="false">IF(OR(B199="",F199="",F199=0),"",D199/F199)</f>
        <v/>
      </c>
      <c r="I199" s="14" t="str">
        <f aca="false">IF(OR(B199="",G199="",G199=0),"",D199/G199*1000)</f>
        <v/>
      </c>
    </row>
    <row r="200" customFormat="false" ht="15" hidden="false" customHeight="true" outlineLevel="0" collapsed="false">
      <c r="A200" s="26"/>
      <c r="D200" s="31"/>
      <c r="F200" s="22"/>
      <c r="G200" s="22"/>
      <c r="H200" s="32" t="str">
        <f aca="false">IF(OR(B200="",F200="",F200=0),"",D200/F200)</f>
        <v/>
      </c>
      <c r="I200" s="14" t="str">
        <f aca="false">IF(OR(B200="",G200="",G200=0),"",D200/G200*1000)</f>
        <v/>
      </c>
    </row>
    <row r="201" customFormat="false" ht="15" hidden="false" customHeight="true" outlineLevel="0" collapsed="false">
      <c r="A201" s="26"/>
      <c r="D201" s="31"/>
      <c r="F201" s="22"/>
      <c r="G201" s="22"/>
      <c r="H201" s="32" t="str">
        <f aca="false">IF(OR(B201="",F201="",F201=0),"",D201/F201)</f>
        <v/>
      </c>
      <c r="I201" s="14" t="str">
        <f aca="false">IF(OR(B201="",G201="",G201=0),"",D201/G201*1000)</f>
        <v/>
      </c>
    </row>
    <row r="202" customFormat="false" ht="15" hidden="false" customHeight="true" outlineLevel="0" collapsed="false">
      <c r="A202" s="26"/>
      <c r="D202" s="31"/>
      <c r="F202" s="22"/>
      <c r="G202" s="22"/>
      <c r="H202" s="32" t="str">
        <f aca="false">IF(OR(B202="",F202="",F202=0),"",D202/F202)</f>
        <v/>
      </c>
      <c r="I202" s="14" t="str">
        <f aca="false">IF(OR(B202="",G202="",G202=0),"",D202/G202*1000)</f>
        <v/>
      </c>
    </row>
    <row r="203" customFormat="false" ht="15" hidden="false" customHeight="true" outlineLevel="0" collapsed="false">
      <c r="A203" s="26"/>
      <c r="D203" s="31"/>
      <c r="F203" s="22"/>
      <c r="G203" s="22"/>
      <c r="H203" s="32" t="str">
        <f aca="false">IF(OR(B203="",F203="",F203=0),"",D203/F203)</f>
        <v/>
      </c>
      <c r="I203" s="14" t="str">
        <f aca="false">IF(OR(B203="",G203="",G203=0),"",D203/G203*1000)</f>
        <v/>
      </c>
    </row>
    <row r="204" customFormat="false" ht="15" hidden="false" customHeight="true" outlineLevel="0" collapsed="false">
      <c r="A204" s="26"/>
      <c r="D204" s="31"/>
      <c r="F204" s="22"/>
      <c r="G204" s="22"/>
      <c r="H204" s="32" t="str">
        <f aca="false">IF(OR(B204="",F204="",F204=0),"",D204/F204)</f>
        <v/>
      </c>
      <c r="I204" s="14" t="str">
        <f aca="false">IF(OR(B204="",G204="",G204=0),"",D204/G204*1000)</f>
        <v/>
      </c>
    </row>
    <row r="205" customFormat="false" ht="15" hidden="false" customHeight="true" outlineLevel="0" collapsed="false">
      <c r="A205" s="26"/>
      <c r="D205" s="31"/>
      <c r="F205" s="22"/>
      <c r="G205" s="22"/>
      <c r="H205" s="32" t="str">
        <f aca="false">IF(OR(B205="",F205="",F205=0),"",D205/F205)</f>
        <v/>
      </c>
      <c r="I205" s="14" t="str">
        <f aca="false">IF(OR(B205="",G205="",G205=0),"",D205/G205*1000)</f>
        <v/>
      </c>
    </row>
    <row r="206" customFormat="false" ht="15" hidden="false" customHeight="true" outlineLevel="0" collapsed="false">
      <c r="A206" s="26"/>
      <c r="D206" s="31"/>
      <c r="F206" s="22"/>
      <c r="G206" s="22"/>
      <c r="H206" s="32" t="str">
        <f aca="false">IF(OR(B206="",F206="",F206=0),"",D206/F206)</f>
        <v/>
      </c>
      <c r="I206" s="14" t="str">
        <f aca="false">IF(OR(B206="",G206="",G206=0),"",D206/G206*1000)</f>
        <v/>
      </c>
    </row>
    <row r="207" customFormat="false" ht="15" hidden="false" customHeight="true" outlineLevel="0" collapsed="false">
      <c r="A207" s="26"/>
      <c r="D207" s="31"/>
      <c r="F207" s="22"/>
      <c r="G207" s="22"/>
      <c r="H207" s="32" t="str">
        <f aca="false">IF(OR(B207="",F207="",F207=0),"",D207/F207)</f>
        <v/>
      </c>
      <c r="I207" s="14" t="str">
        <f aca="false">IF(OR(B207="",G207="",G207=0),"",D207/G207*1000)</f>
        <v/>
      </c>
    </row>
    <row r="208" customFormat="false" ht="15" hidden="false" customHeight="true" outlineLevel="0" collapsed="false">
      <c r="A208" s="26"/>
      <c r="D208" s="31"/>
      <c r="F208" s="22"/>
      <c r="G208" s="22"/>
      <c r="H208" s="32" t="str">
        <f aca="false">IF(OR(B208="",F208="",F208=0),"",D208/F208)</f>
        <v/>
      </c>
      <c r="I208" s="14" t="str">
        <f aca="false">IF(OR(B208="",G208="",G208=0),"",D208/G208*1000)</f>
        <v/>
      </c>
    </row>
    <row r="209" customFormat="false" ht="15" hidden="false" customHeight="true" outlineLevel="0" collapsed="false">
      <c r="A209" s="26"/>
      <c r="D209" s="31"/>
      <c r="F209" s="22"/>
      <c r="G209" s="22"/>
      <c r="H209" s="32" t="str">
        <f aca="false">IF(OR(B209="",F209="",F209=0),"",D209/F209)</f>
        <v/>
      </c>
      <c r="I209" s="14" t="str">
        <f aca="false">IF(OR(B209="",G209="",G209=0),"",D209/G209*1000)</f>
        <v/>
      </c>
    </row>
    <row r="210" customFormat="false" ht="15" hidden="false" customHeight="true" outlineLevel="0" collapsed="false">
      <c r="A210" s="26"/>
      <c r="D210" s="31"/>
      <c r="F210" s="22"/>
      <c r="G210" s="22"/>
      <c r="H210" s="32" t="str">
        <f aca="false">IF(OR(B210="",F210="",F210=0),"",D210/F210)</f>
        <v/>
      </c>
      <c r="I210" s="14" t="str">
        <f aca="false">IF(OR(B210="",G210="",G210=0),"",D210/G210*1000)</f>
        <v/>
      </c>
    </row>
    <row r="211" customFormat="false" ht="15" hidden="false" customHeight="true" outlineLevel="0" collapsed="false">
      <c r="A211" s="26"/>
      <c r="D211" s="31"/>
      <c r="F211" s="22"/>
      <c r="G211" s="22"/>
      <c r="H211" s="32" t="str">
        <f aca="false">IF(OR(B211="",F211="",F211=0),"",D211/F211)</f>
        <v/>
      </c>
      <c r="I211" s="14" t="str">
        <f aca="false">IF(OR(B211="",G211="",G211=0),"",D211/G211*1000)</f>
        <v/>
      </c>
    </row>
    <row r="212" customFormat="false" ht="15" hidden="false" customHeight="true" outlineLevel="0" collapsed="false">
      <c r="A212" s="26"/>
      <c r="D212" s="31"/>
      <c r="F212" s="22"/>
      <c r="G212" s="22"/>
      <c r="H212" s="32" t="str">
        <f aca="false">IF(OR(B212="",F212="",F212=0),"",D212/F212)</f>
        <v/>
      </c>
      <c r="I212" s="14" t="str">
        <f aca="false">IF(OR(B212="",G212="",G212=0),"",D212/G212*1000)</f>
        <v/>
      </c>
    </row>
    <row r="213" customFormat="false" ht="15" hidden="false" customHeight="true" outlineLevel="0" collapsed="false">
      <c r="A213" s="26"/>
      <c r="D213" s="31"/>
      <c r="F213" s="22"/>
      <c r="G213" s="22"/>
      <c r="H213" s="32" t="str">
        <f aca="false">IF(OR(B213="",F213="",F213=0),"",D213/F213)</f>
        <v/>
      </c>
      <c r="I213" s="14" t="str">
        <f aca="false">IF(OR(B213="",G213="",G213=0),"",D213/G213*1000)</f>
        <v/>
      </c>
    </row>
    <row r="214" customFormat="false" ht="15" hidden="false" customHeight="true" outlineLevel="0" collapsed="false">
      <c r="A214" s="26"/>
      <c r="D214" s="31"/>
      <c r="F214" s="22"/>
      <c r="G214" s="22"/>
      <c r="H214" s="32" t="str">
        <f aca="false">IF(OR(B214="",F214="",F214=0),"",D214/F214)</f>
        <v/>
      </c>
      <c r="I214" s="14" t="str">
        <f aca="false">IF(OR(B214="",G214="",G214=0),"",D214/G214*1000)</f>
        <v/>
      </c>
    </row>
    <row r="215" customFormat="false" ht="15" hidden="false" customHeight="true" outlineLevel="0" collapsed="false">
      <c r="A215" s="26"/>
      <c r="D215" s="31"/>
      <c r="F215" s="22"/>
      <c r="G215" s="22"/>
      <c r="H215" s="32" t="str">
        <f aca="false">IF(OR(B215="",F215="",F215=0),"",D215/F215)</f>
        <v/>
      </c>
      <c r="I215" s="14" t="str">
        <f aca="false">IF(OR(B215="",G215="",G215=0),"",D215/G215*1000)</f>
        <v/>
      </c>
    </row>
    <row r="216" customFormat="false" ht="15" hidden="false" customHeight="true" outlineLevel="0" collapsed="false">
      <c r="A216" s="26"/>
      <c r="D216" s="31"/>
      <c r="F216" s="22"/>
      <c r="G216" s="22"/>
      <c r="H216" s="32" t="str">
        <f aca="false">IF(OR(B216="",F216="",F216=0),"",D216/F216)</f>
        <v/>
      </c>
      <c r="I216" s="14" t="str">
        <f aca="false">IF(OR(B216="",G216="",G216=0),"",D216/G216*1000)</f>
        <v/>
      </c>
    </row>
    <row r="217" customFormat="false" ht="15" hidden="false" customHeight="true" outlineLevel="0" collapsed="false">
      <c r="A217" s="26"/>
      <c r="D217" s="31"/>
      <c r="F217" s="22"/>
      <c r="G217" s="22"/>
      <c r="H217" s="32" t="str">
        <f aca="false">IF(OR(B217="",F217="",F217=0),"",D217/F217)</f>
        <v/>
      </c>
      <c r="I217" s="14" t="str">
        <f aca="false">IF(OR(B217="",G217="",G217=0),"",D217/G217*1000)</f>
        <v/>
      </c>
    </row>
    <row r="218" customFormat="false" ht="15" hidden="false" customHeight="true" outlineLevel="0" collapsed="false">
      <c r="A218" s="26"/>
      <c r="D218" s="31"/>
      <c r="F218" s="22"/>
      <c r="G218" s="22"/>
      <c r="H218" s="32" t="str">
        <f aca="false">IF(OR(B218="",F218="",F218=0),"",D218/F218)</f>
        <v/>
      </c>
      <c r="I218" s="14" t="str">
        <f aca="false">IF(OR(B218="",G218="",G218=0),"",D218/G218*1000)</f>
        <v/>
      </c>
    </row>
    <row r="219" customFormat="false" ht="15" hidden="false" customHeight="true" outlineLevel="0" collapsed="false">
      <c r="A219" s="26"/>
      <c r="D219" s="31"/>
      <c r="F219" s="22"/>
      <c r="G219" s="22"/>
      <c r="H219" s="32" t="str">
        <f aca="false">IF(OR(B219="",F219="",F219=0),"",D219/F219)</f>
        <v/>
      </c>
      <c r="I219" s="14" t="str">
        <f aca="false">IF(OR(B219="",G219="",G219=0),"",D219/G219*1000)</f>
        <v/>
      </c>
    </row>
    <row r="220" customFormat="false" ht="15" hidden="false" customHeight="true" outlineLevel="0" collapsed="false">
      <c r="A220" s="26"/>
      <c r="D220" s="31"/>
      <c r="F220" s="22"/>
      <c r="G220" s="22"/>
      <c r="H220" s="32" t="str">
        <f aca="false">IF(OR(B220="",F220="",F220=0),"",D220/F220)</f>
        <v/>
      </c>
      <c r="I220" s="14" t="str">
        <f aca="false">IF(OR(B220="",G220="",G220=0),"",D220/G220*1000)</f>
        <v/>
      </c>
    </row>
    <row r="221" customFormat="false" ht="15" hidden="false" customHeight="true" outlineLevel="0" collapsed="false">
      <c r="A221" s="26"/>
      <c r="D221" s="31"/>
      <c r="F221" s="22"/>
      <c r="G221" s="22"/>
      <c r="H221" s="32" t="str">
        <f aca="false">IF(OR(B221="",F221="",F221=0),"",D221/F221)</f>
        <v/>
      </c>
      <c r="I221" s="14" t="str">
        <f aca="false">IF(OR(B221="",G221="",G221=0),"",D221/G221*1000)</f>
        <v/>
      </c>
    </row>
    <row r="222" customFormat="false" ht="15" hidden="false" customHeight="true" outlineLevel="0" collapsed="false">
      <c r="A222" s="26"/>
      <c r="D222" s="31"/>
      <c r="F222" s="22"/>
      <c r="G222" s="22"/>
      <c r="H222" s="32" t="str">
        <f aca="false">IF(OR(B222="",F222="",F222=0),"",D222/F222)</f>
        <v/>
      </c>
      <c r="I222" s="14" t="str">
        <f aca="false">IF(OR(B222="",G222="",G222=0),"",D222/G222*1000)</f>
        <v/>
      </c>
    </row>
    <row r="223" customFormat="false" ht="15" hidden="false" customHeight="true" outlineLevel="0" collapsed="false">
      <c r="A223" s="26"/>
      <c r="D223" s="31"/>
      <c r="F223" s="22"/>
      <c r="G223" s="22"/>
      <c r="H223" s="32" t="str">
        <f aca="false">IF(OR(B223="",F223="",F223=0),"",D223/F223)</f>
        <v/>
      </c>
      <c r="I223" s="14" t="str">
        <f aca="false">IF(OR(B223="",G223="",G223=0),"",D223/G223*1000)</f>
        <v/>
      </c>
    </row>
    <row r="224" customFormat="false" ht="15" hidden="false" customHeight="true" outlineLevel="0" collapsed="false">
      <c r="A224" s="26"/>
      <c r="D224" s="31"/>
      <c r="F224" s="22"/>
      <c r="G224" s="22"/>
      <c r="H224" s="32" t="str">
        <f aca="false">IF(OR(B224="",F224="",F224=0),"",D224/F224)</f>
        <v/>
      </c>
      <c r="I224" s="14" t="str">
        <f aca="false">IF(OR(B224="",G224="",G224=0),"",D224/G224*1000)</f>
        <v/>
      </c>
    </row>
    <row r="225" customFormat="false" ht="15" hidden="false" customHeight="true" outlineLevel="0" collapsed="false">
      <c r="A225" s="26"/>
      <c r="D225" s="31"/>
      <c r="F225" s="22"/>
      <c r="G225" s="22"/>
      <c r="H225" s="32" t="str">
        <f aca="false">IF(OR(B225="",F225="",F225=0),"",D225/F225)</f>
        <v/>
      </c>
      <c r="I225" s="14" t="str">
        <f aca="false">IF(OR(B225="",G225="",G225=0),"",D225/G225*1000)</f>
        <v/>
      </c>
    </row>
    <row r="226" customFormat="false" ht="15" hidden="false" customHeight="true" outlineLevel="0" collapsed="false">
      <c r="A226" s="26"/>
      <c r="D226" s="31"/>
      <c r="F226" s="22"/>
      <c r="G226" s="22"/>
      <c r="H226" s="32" t="str">
        <f aca="false">IF(OR(B226="",F226="",F226=0),"",D226/F226)</f>
        <v/>
      </c>
      <c r="I226" s="14" t="str">
        <f aca="false">IF(OR(B226="",G226="",G226=0),"",D226/G226*1000)</f>
        <v/>
      </c>
    </row>
    <row r="227" customFormat="false" ht="15" hidden="false" customHeight="true" outlineLevel="0" collapsed="false">
      <c r="A227" s="26"/>
      <c r="D227" s="31"/>
      <c r="F227" s="22"/>
      <c r="G227" s="22"/>
      <c r="H227" s="32" t="str">
        <f aca="false">IF(OR(B227="",F227="",F227=0),"",D227/F227)</f>
        <v/>
      </c>
      <c r="I227" s="14" t="str">
        <f aca="false">IF(OR(B227="",G227="",G227=0),"",D227/G227*1000)</f>
        <v/>
      </c>
    </row>
    <row r="228" customFormat="false" ht="15" hidden="false" customHeight="true" outlineLevel="0" collapsed="false">
      <c r="A228" s="26"/>
      <c r="D228" s="31"/>
      <c r="F228" s="22"/>
      <c r="G228" s="22"/>
      <c r="H228" s="32" t="str">
        <f aca="false">IF(OR(B228="",F228="",F228=0),"",D228/F228)</f>
        <v/>
      </c>
      <c r="I228" s="14" t="str">
        <f aca="false">IF(OR(B228="",G228="",G228=0),"",D228/G228*1000)</f>
        <v/>
      </c>
    </row>
    <row r="229" customFormat="false" ht="15" hidden="false" customHeight="true" outlineLevel="0" collapsed="false">
      <c r="A229" s="26"/>
      <c r="D229" s="31"/>
      <c r="F229" s="22"/>
      <c r="G229" s="22"/>
      <c r="H229" s="32" t="str">
        <f aca="false">IF(OR(B229="",F229="",F229=0),"",D229/F229)</f>
        <v/>
      </c>
      <c r="I229" s="14" t="str">
        <f aca="false">IF(OR(B229="",G229="",G229=0),"",D229/G229*1000)</f>
        <v/>
      </c>
    </row>
    <row r="230" customFormat="false" ht="15" hidden="false" customHeight="true" outlineLevel="0" collapsed="false">
      <c r="A230" s="26"/>
      <c r="D230" s="31"/>
      <c r="F230" s="22"/>
      <c r="G230" s="22"/>
      <c r="H230" s="32" t="str">
        <f aca="false">IF(OR(B230="",F230="",F230=0),"",D230/F230)</f>
        <v/>
      </c>
      <c r="I230" s="14" t="str">
        <f aca="false">IF(OR(B230="",G230="",G230=0),"",D230/G230*1000)</f>
        <v/>
      </c>
    </row>
    <row r="231" customFormat="false" ht="15" hidden="false" customHeight="true" outlineLevel="0" collapsed="false">
      <c r="A231" s="26"/>
      <c r="D231" s="31"/>
      <c r="F231" s="22"/>
      <c r="G231" s="22"/>
      <c r="H231" s="32" t="str">
        <f aca="false">IF(OR(B231="",F231="",F231=0),"",D231/F231)</f>
        <v/>
      </c>
      <c r="I231" s="14" t="str">
        <f aca="false">IF(OR(B231="",G231="",G231=0),"",D231/G231*1000)</f>
        <v/>
      </c>
    </row>
    <row r="232" customFormat="false" ht="15" hidden="false" customHeight="true" outlineLevel="0" collapsed="false">
      <c r="A232" s="26"/>
      <c r="D232" s="31"/>
      <c r="F232" s="22"/>
      <c r="G232" s="22"/>
      <c r="H232" s="32" t="str">
        <f aca="false">IF(OR(B232="",F232="",F232=0),"",D232/F232)</f>
        <v/>
      </c>
      <c r="I232" s="14" t="str">
        <f aca="false">IF(OR(B232="",G232="",G232=0),"",D232/G232*1000)</f>
        <v/>
      </c>
    </row>
    <row r="233" customFormat="false" ht="15" hidden="false" customHeight="true" outlineLevel="0" collapsed="false">
      <c r="A233" s="26"/>
      <c r="D233" s="31"/>
      <c r="F233" s="22"/>
      <c r="G233" s="22"/>
      <c r="H233" s="32" t="str">
        <f aca="false">IF(OR(B233="",F233="",F233=0),"",D233/F233)</f>
        <v/>
      </c>
      <c r="I233" s="14" t="str">
        <f aca="false">IF(OR(B233="",G233="",G233=0),"",D233/G233*1000)</f>
        <v/>
      </c>
    </row>
    <row r="234" customFormat="false" ht="15" hidden="false" customHeight="true" outlineLevel="0" collapsed="false">
      <c r="A234" s="26"/>
      <c r="D234" s="31"/>
      <c r="F234" s="22"/>
      <c r="G234" s="22"/>
      <c r="H234" s="32" t="str">
        <f aca="false">IF(OR(B234="",F234="",F234=0),"",D234/F234)</f>
        <v/>
      </c>
      <c r="I234" s="14" t="str">
        <f aca="false">IF(OR(B234="",G234="",G234=0),"",D234/G234*1000)</f>
        <v/>
      </c>
    </row>
    <row r="235" customFormat="false" ht="15" hidden="false" customHeight="true" outlineLevel="0" collapsed="false">
      <c r="A235" s="26"/>
      <c r="D235" s="31"/>
      <c r="F235" s="22"/>
      <c r="G235" s="22"/>
      <c r="H235" s="32" t="str">
        <f aca="false">IF(OR(B235="",F235="",F235=0),"",D235/F235)</f>
        <v/>
      </c>
      <c r="I235" s="14" t="str">
        <f aca="false">IF(OR(B235="",G235="",G235=0),"",D235/G235*1000)</f>
        <v/>
      </c>
    </row>
    <row r="236" customFormat="false" ht="15" hidden="false" customHeight="true" outlineLevel="0" collapsed="false">
      <c r="A236" s="26"/>
      <c r="D236" s="31"/>
      <c r="F236" s="22"/>
      <c r="G236" s="22"/>
      <c r="H236" s="32" t="str">
        <f aca="false">IF(OR(B236="",F236="",F236=0),"",D236/F236)</f>
        <v/>
      </c>
      <c r="I236" s="14" t="str">
        <f aca="false">IF(OR(B236="",G236="",G236=0),"",D236/G236*1000)</f>
        <v/>
      </c>
    </row>
    <row r="237" customFormat="false" ht="15" hidden="false" customHeight="true" outlineLevel="0" collapsed="false">
      <c r="A237" s="26"/>
      <c r="D237" s="31"/>
      <c r="F237" s="22"/>
      <c r="G237" s="22"/>
      <c r="H237" s="32" t="str">
        <f aca="false">IF(OR(B237="",F237="",F237=0),"",D237/F237)</f>
        <v/>
      </c>
      <c r="I237" s="14" t="str">
        <f aca="false">IF(OR(B237="",G237="",G237=0),"",D237/G237*1000)</f>
        <v/>
      </c>
    </row>
    <row r="238" customFormat="false" ht="15" hidden="false" customHeight="true" outlineLevel="0" collapsed="false">
      <c r="A238" s="26"/>
      <c r="D238" s="31"/>
      <c r="F238" s="22"/>
      <c r="G238" s="22"/>
      <c r="H238" s="32" t="str">
        <f aca="false">IF(OR(B238="",F238="",F238=0),"",D238/F238)</f>
        <v/>
      </c>
      <c r="I238" s="14" t="str">
        <f aca="false">IF(OR(B238="",G238="",G238=0),"",D238/G238*1000)</f>
        <v/>
      </c>
    </row>
    <row r="239" customFormat="false" ht="15" hidden="false" customHeight="true" outlineLevel="0" collapsed="false">
      <c r="A239" s="26"/>
      <c r="D239" s="31"/>
      <c r="F239" s="22"/>
      <c r="G239" s="22"/>
      <c r="H239" s="32" t="str">
        <f aca="false">IF(OR(B239="",F239="",F239=0),"",D239/F239)</f>
        <v/>
      </c>
      <c r="I239" s="14" t="str">
        <f aca="false">IF(OR(B239="",G239="",G239=0),"",D239/G239*1000)</f>
        <v/>
      </c>
    </row>
    <row r="240" customFormat="false" ht="15" hidden="false" customHeight="true" outlineLevel="0" collapsed="false">
      <c r="A240" s="26"/>
      <c r="D240" s="31"/>
      <c r="F240" s="22"/>
      <c r="G240" s="22"/>
      <c r="H240" s="32" t="str">
        <f aca="false">IF(OR(B240="",F240="",F240=0),"",D240/F240)</f>
        <v/>
      </c>
      <c r="I240" s="14" t="str">
        <f aca="false">IF(OR(B240="",G240="",G240=0),"",D240/G240*1000)</f>
        <v/>
      </c>
    </row>
    <row r="241" customFormat="false" ht="15" hidden="false" customHeight="true" outlineLevel="0" collapsed="false">
      <c r="A241" s="26"/>
      <c r="D241" s="31"/>
      <c r="F241" s="22"/>
      <c r="G241" s="22"/>
      <c r="H241" s="32" t="str">
        <f aca="false">IF(OR(B241="",F241="",F241=0),"",D241/F241)</f>
        <v/>
      </c>
      <c r="I241" s="14" t="str">
        <f aca="false">IF(OR(B241="",G241="",G241=0),"",D241/G241*1000)</f>
        <v/>
      </c>
    </row>
    <row r="242" customFormat="false" ht="15" hidden="false" customHeight="true" outlineLevel="0" collapsed="false">
      <c r="A242" s="26"/>
      <c r="D242" s="31"/>
      <c r="F242" s="22"/>
      <c r="G242" s="22"/>
      <c r="H242" s="32" t="str">
        <f aca="false">IF(OR(B242="",F242="",F242=0),"",D242/F242)</f>
        <v/>
      </c>
      <c r="I242" s="14" t="str">
        <f aca="false">IF(OR(B242="",G242="",G242=0),"",D242/G242*1000)</f>
        <v/>
      </c>
    </row>
    <row r="243" customFormat="false" ht="15" hidden="false" customHeight="true" outlineLevel="0" collapsed="false">
      <c r="A243" s="26"/>
      <c r="D243" s="31"/>
      <c r="F243" s="22"/>
      <c r="G243" s="22"/>
      <c r="H243" s="32" t="str">
        <f aca="false">IF(OR(B243="",F243="",F243=0),"",D243/F243)</f>
        <v/>
      </c>
      <c r="I243" s="14" t="str">
        <f aca="false">IF(OR(B243="",G243="",G243=0),"",D243/G243*1000)</f>
        <v/>
      </c>
    </row>
    <row r="244" customFormat="false" ht="15" hidden="false" customHeight="true" outlineLevel="0" collapsed="false">
      <c r="A244" s="26"/>
      <c r="D244" s="31"/>
      <c r="F244" s="22"/>
      <c r="G244" s="22"/>
      <c r="H244" s="32" t="str">
        <f aca="false">IF(OR(B244="",F244="",F244=0),"",D244/F244)</f>
        <v/>
      </c>
      <c r="I244" s="14" t="str">
        <f aca="false">IF(OR(B244="",G244="",G244=0),"",D244/G244*1000)</f>
        <v/>
      </c>
    </row>
    <row r="245" customFormat="false" ht="15" hidden="false" customHeight="true" outlineLevel="0" collapsed="false">
      <c r="A245" s="26"/>
      <c r="D245" s="31"/>
      <c r="F245" s="22"/>
      <c r="G245" s="22"/>
      <c r="H245" s="32" t="str">
        <f aca="false">IF(OR(B245="",F245="",F245=0),"",D245/F245)</f>
        <v/>
      </c>
      <c r="I245" s="14" t="str">
        <f aca="false">IF(OR(B245="",G245="",G245=0),"",D245/G245*1000)</f>
        <v/>
      </c>
    </row>
    <row r="246" customFormat="false" ht="15" hidden="false" customHeight="true" outlineLevel="0" collapsed="false">
      <c r="A246" s="26"/>
      <c r="D246" s="31"/>
      <c r="F246" s="22"/>
      <c r="G246" s="22"/>
      <c r="H246" s="32" t="str">
        <f aca="false">IF(OR(B246="",F246="",F246=0),"",D246/F246)</f>
        <v/>
      </c>
      <c r="I246" s="14" t="str">
        <f aca="false">IF(OR(B246="",G246="",G246=0),"",D246/G246*1000)</f>
        <v/>
      </c>
    </row>
    <row r="247" customFormat="false" ht="15" hidden="false" customHeight="true" outlineLevel="0" collapsed="false">
      <c r="A247" s="26"/>
      <c r="D247" s="31"/>
      <c r="F247" s="22"/>
      <c r="G247" s="22"/>
      <c r="H247" s="32" t="str">
        <f aca="false">IF(OR(B247="",F247="",F247=0),"",D247/F247)</f>
        <v/>
      </c>
      <c r="I247" s="14" t="str">
        <f aca="false">IF(OR(B247="",G247="",G247=0),"",D247/G247*1000)</f>
        <v/>
      </c>
    </row>
    <row r="248" customFormat="false" ht="15" hidden="false" customHeight="true" outlineLevel="0" collapsed="false">
      <c r="A248" s="26"/>
      <c r="D248" s="31"/>
      <c r="F248" s="22"/>
      <c r="G248" s="22"/>
      <c r="H248" s="32" t="str">
        <f aca="false">IF(OR(B248="",F248="",F248=0),"",D248/F248)</f>
        <v/>
      </c>
      <c r="I248" s="14" t="str">
        <f aca="false">IF(OR(B248="",G248="",G248=0),"",D248/G248*1000)</f>
        <v/>
      </c>
    </row>
    <row r="249" customFormat="false" ht="15" hidden="false" customHeight="true" outlineLevel="0" collapsed="false">
      <c r="A249" s="26"/>
      <c r="D249" s="31"/>
      <c r="F249" s="22"/>
      <c r="G249" s="22"/>
      <c r="H249" s="32" t="str">
        <f aca="false">IF(OR(B249="",F249="",F249=0),"",D249/F249)</f>
        <v/>
      </c>
      <c r="I249" s="14" t="str">
        <f aca="false">IF(OR(B249="",G249="",G249=0),"",D249/G249*1000)</f>
        <v/>
      </c>
    </row>
    <row r="250" customFormat="false" ht="15" hidden="false" customHeight="true" outlineLevel="0" collapsed="false">
      <c r="A250" s="26"/>
      <c r="D250" s="31"/>
      <c r="F250" s="22"/>
      <c r="G250" s="22"/>
      <c r="H250" s="32" t="str">
        <f aca="false">IF(OR(B250="",F250="",F250=0),"",D250/F250)</f>
        <v/>
      </c>
      <c r="I250" s="14" t="str">
        <f aca="false">IF(OR(B250="",G250="",G250=0),"",D250/G250*1000)</f>
        <v/>
      </c>
    </row>
    <row r="251" customFormat="false" ht="15" hidden="false" customHeight="true" outlineLevel="0" collapsed="false">
      <c r="A251" s="26"/>
      <c r="D251" s="31"/>
      <c r="F251" s="22"/>
      <c r="G251" s="22"/>
      <c r="H251" s="32" t="str">
        <f aca="false">IF(OR(B251="",F251="",F251=0),"",D251/F251)</f>
        <v/>
      </c>
      <c r="I251" s="14" t="str">
        <f aca="false">IF(OR(B251="",G251="",G251=0),"",D251/G251*1000)</f>
        <v/>
      </c>
    </row>
    <row r="252" customFormat="false" ht="15" hidden="false" customHeight="true" outlineLevel="0" collapsed="false">
      <c r="A252" s="26"/>
      <c r="D252" s="31"/>
      <c r="F252" s="22"/>
      <c r="G252" s="22"/>
      <c r="H252" s="32" t="str">
        <f aca="false">IF(OR(B252="",F252="",F252=0),"",D252/F252)</f>
        <v/>
      </c>
      <c r="I252" s="14" t="str">
        <f aca="false">IF(OR(B252="",G252="",G252=0),"",D252/G252*1000)</f>
        <v/>
      </c>
    </row>
    <row r="253" customFormat="false" ht="15" hidden="false" customHeight="true" outlineLevel="0" collapsed="false">
      <c r="A253" s="26"/>
      <c r="D253" s="31"/>
      <c r="F253" s="22"/>
      <c r="G253" s="22"/>
      <c r="H253" s="32" t="str">
        <f aca="false">IF(OR(B253="",F253="",F253=0),"",D253/F253)</f>
        <v/>
      </c>
      <c r="I253" s="14" t="str">
        <f aca="false">IF(OR(B253="",G253="",G253=0),"",D253/G253*1000)</f>
        <v/>
      </c>
    </row>
    <row r="254" customFormat="false" ht="15" hidden="false" customHeight="true" outlineLevel="0" collapsed="false">
      <c r="A254" s="26"/>
      <c r="D254" s="31"/>
      <c r="F254" s="22"/>
      <c r="G254" s="22"/>
      <c r="H254" s="32" t="str">
        <f aca="false">IF(OR(B254="",F254="",F254=0),"",D254/F254)</f>
        <v/>
      </c>
      <c r="I254" s="14" t="str">
        <f aca="false">IF(OR(B254="",G254="",G254=0),"",D254/G254*1000)</f>
        <v/>
      </c>
    </row>
    <row r="255" customFormat="false" ht="15" hidden="false" customHeight="true" outlineLevel="0" collapsed="false">
      <c r="A255" s="26"/>
      <c r="D255" s="31"/>
      <c r="F255" s="22"/>
      <c r="G255" s="22"/>
      <c r="H255" s="32" t="str">
        <f aca="false">IF(OR(B255="",F255="",F255=0),"",D255/F255)</f>
        <v/>
      </c>
      <c r="I255" s="14" t="str">
        <f aca="false">IF(OR(B255="",G255="",G255=0),"",D255/G255*1000)</f>
        <v/>
      </c>
    </row>
    <row r="256" customFormat="false" ht="15" hidden="false" customHeight="true" outlineLevel="0" collapsed="false">
      <c r="A256" s="26"/>
      <c r="D256" s="31"/>
      <c r="F256" s="22"/>
      <c r="G256" s="22"/>
      <c r="H256" s="32" t="str">
        <f aca="false">IF(OR(B256="",F256="",F256=0),"",D256/F256)</f>
        <v/>
      </c>
      <c r="I256" s="14" t="str">
        <f aca="false">IF(OR(B256="",G256="",G256=0),"",D256/G256*1000)</f>
        <v/>
      </c>
    </row>
    <row r="257" customFormat="false" ht="15" hidden="false" customHeight="true" outlineLevel="0" collapsed="false">
      <c r="A257" s="26"/>
      <c r="D257" s="31"/>
      <c r="F257" s="22"/>
      <c r="G257" s="22"/>
      <c r="H257" s="32" t="str">
        <f aca="false">IF(OR(B257="",F257="",F257=0),"",D257/F257)</f>
        <v/>
      </c>
      <c r="I257" s="14" t="str">
        <f aca="false">IF(OR(B257="",G257="",G257=0),"",D257/G257*1000)</f>
        <v/>
      </c>
    </row>
    <row r="258" customFormat="false" ht="15" hidden="false" customHeight="true" outlineLevel="0" collapsed="false">
      <c r="A258" s="26"/>
      <c r="D258" s="31"/>
      <c r="F258" s="22"/>
      <c r="G258" s="22"/>
      <c r="H258" s="32" t="str">
        <f aca="false">IF(OR(B258="",F258="",F258=0),"",D258/F258)</f>
        <v/>
      </c>
      <c r="I258" s="14" t="str">
        <f aca="false">IF(OR(B258="",G258="",G258=0),"",D258/G258*1000)</f>
        <v/>
      </c>
    </row>
    <row r="259" customFormat="false" ht="15" hidden="false" customHeight="true" outlineLevel="0" collapsed="false">
      <c r="A259" s="26"/>
      <c r="D259" s="31"/>
      <c r="F259" s="22"/>
      <c r="G259" s="22"/>
      <c r="H259" s="32" t="str">
        <f aca="false">IF(OR(B259="",F259="",F259=0),"",D259/F259)</f>
        <v/>
      </c>
      <c r="I259" s="14" t="str">
        <f aca="false">IF(OR(B259="",G259="",G259=0),"",D259/G259*1000)</f>
        <v/>
      </c>
    </row>
    <row r="260" customFormat="false" ht="15" hidden="false" customHeight="true" outlineLevel="0" collapsed="false">
      <c r="A260" s="26"/>
      <c r="D260" s="31"/>
      <c r="F260" s="22"/>
      <c r="G260" s="22"/>
      <c r="H260" s="32" t="str">
        <f aca="false">IF(OR(B260="",F260="",F260=0),"",D260/F260)</f>
        <v/>
      </c>
      <c r="I260" s="14" t="str">
        <f aca="false">IF(OR(B260="",G260="",G260=0),"",D260/G260*1000)</f>
        <v/>
      </c>
    </row>
    <row r="261" customFormat="false" ht="15" hidden="false" customHeight="true" outlineLevel="0" collapsed="false">
      <c r="A261" s="26"/>
      <c r="D261" s="31"/>
      <c r="F261" s="22"/>
      <c r="G261" s="22"/>
      <c r="H261" s="32" t="str">
        <f aca="false">IF(OR(B261="",F261="",F261=0),"",D261/F261)</f>
        <v/>
      </c>
      <c r="I261" s="14" t="str">
        <f aca="false">IF(OR(B261="",G261="",G261=0),"",D261/G261*1000)</f>
        <v/>
      </c>
    </row>
    <row r="262" customFormat="false" ht="15" hidden="false" customHeight="true" outlineLevel="0" collapsed="false">
      <c r="A262" s="26"/>
      <c r="D262" s="31"/>
      <c r="F262" s="22"/>
      <c r="G262" s="22"/>
      <c r="H262" s="32" t="str">
        <f aca="false">IF(OR(B262="",F262="",F262=0),"",D262/F262)</f>
        <v/>
      </c>
      <c r="I262" s="14" t="str">
        <f aca="false">IF(OR(B262="",G262="",G262=0),"",D262/G262*1000)</f>
        <v/>
      </c>
    </row>
    <row r="263" customFormat="false" ht="15" hidden="false" customHeight="true" outlineLevel="0" collapsed="false">
      <c r="A263" s="26"/>
      <c r="D263" s="31"/>
      <c r="F263" s="22"/>
      <c r="G263" s="22"/>
      <c r="H263" s="32" t="str">
        <f aca="false">IF(OR(B263="",F263="",F263=0),"",D263/F263)</f>
        <v/>
      </c>
      <c r="I263" s="14" t="str">
        <f aca="false">IF(OR(B263="",G263="",G263=0),"",D263/G263*1000)</f>
        <v/>
      </c>
    </row>
    <row r="264" customFormat="false" ht="15" hidden="false" customHeight="true" outlineLevel="0" collapsed="false">
      <c r="A264" s="26"/>
      <c r="D264" s="31"/>
      <c r="F264" s="22"/>
      <c r="G264" s="22"/>
      <c r="H264" s="32" t="str">
        <f aca="false">IF(OR(B264="",F264="",F264=0),"",D264/F264)</f>
        <v/>
      </c>
      <c r="I264" s="14" t="str">
        <f aca="false">IF(OR(B264="",G264="",G264=0),"",D264/G264*1000)</f>
        <v/>
      </c>
    </row>
    <row r="265" customFormat="false" ht="15" hidden="false" customHeight="true" outlineLevel="0" collapsed="false">
      <c r="A265" s="26"/>
      <c r="D265" s="31"/>
      <c r="F265" s="22"/>
      <c r="G265" s="22"/>
      <c r="H265" s="32" t="str">
        <f aca="false">IF(OR(B265="",F265="",F265=0),"",D265/F265)</f>
        <v/>
      </c>
      <c r="I265" s="14" t="str">
        <f aca="false">IF(OR(B265="",G265="",G265=0),"",D265/G265*1000)</f>
        <v/>
      </c>
    </row>
    <row r="266" customFormat="false" ht="15" hidden="false" customHeight="true" outlineLevel="0" collapsed="false">
      <c r="A266" s="26"/>
      <c r="D266" s="31"/>
      <c r="F266" s="22"/>
      <c r="G266" s="22"/>
      <c r="H266" s="32" t="str">
        <f aca="false">IF(OR(B266="",F266="",F266=0),"",D266/F266)</f>
        <v/>
      </c>
      <c r="I266" s="14" t="str">
        <f aca="false">IF(OR(B266="",G266="",G266=0),"",D266/G266*1000)</f>
        <v/>
      </c>
    </row>
    <row r="267" customFormat="false" ht="15" hidden="false" customHeight="true" outlineLevel="0" collapsed="false">
      <c r="A267" s="26"/>
      <c r="D267" s="31"/>
      <c r="F267" s="22"/>
      <c r="G267" s="22"/>
      <c r="H267" s="32" t="str">
        <f aca="false">IF(OR(B267="",F267="",F267=0),"",D267/F267)</f>
        <v/>
      </c>
      <c r="I267" s="14" t="str">
        <f aca="false">IF(OR(B267="",G267="",G267=0),"",D267/G267*1000)</f>
        <v/>
      </c>
    </row>
    <row r="268" customFormat="false" ht="15" hidden="false" customHeight="true" outlineLevel="0" collapsed="false">
      <c r="A268" s="26"/>
      <c r="D268" s="31"/>
      <c r="F268" s="22"/>
      <c r="G268" s="22"/>
      <c r="H268" s="32" t="str">
        <f aca="false">IF(OR(B268="",F268="",F268=0),"",D268/F268)</f>
        <v/>
      </c>
      <c r="I268" s="14" t="str">
        <f aca="false">IF(OR(B268="",G268="",G268=0),"",D268/G268*1000)</f>
        <v/>
      </c>
    </row>
    <row r="269" customFormat="false" ht="15" hidden="false" customHeight="true" outlineLevel="0" collapsed="false">
      <c r="A269" s="26"/>
      <c r="D269" s="31"/>
      <c r="F269" s="22"/>
      <c r="G269" s="22"/>
      <c r="H269" s="32" t="str">
        <f aca="false">IF(OR(B269="",F269="",F269=0),"",D269/F269)</f>
        <v/>
      </c>
      <c r="I269" s="14" t="str">
        <f aca="false">IF(OR(B269="",G269="",G269=0),"",D269/G269*1000)</f>
        <v/>
      </c>
    </row>
    <row r="270" customFormat="false" ht="15" hidden="false" customHeight="true" outlineLevel="0" collapsed="false">
      <c r="A270" s="26"/>
      <c r="D270" s="31"/>
      <c r="F270" s="22"/>
      <c r="G270" s="22"/>
      <c r="H270" s="32" t="str">
        <f aca="false">IF(OR(B270="",F270="",F270=0),"",D270/F270)</f>
        <v/>
      </c>
      <c r="I270" s="14" t="str">
        <f aca="false">IF(OR(B270="",G270="",G270=0),"",D270/G270*1000)</f>
        <v/>
      </c>
    </row>
    <row r="271" customFormat="false" ht="15" hidden="false" customHeight="true" outlineLevel="0" collapsed="false">
      <c r="A271" s="26"/>
      <c r="D271" s="31"/>
      <c r="F271" s="22"/>
      <c r="G271" s="22"/>
      <c r="H271" s="32" t="str">
        <f aca="false">IF(OR(B271="",F271="",F271=0),"",D271/F271)</f>
        <v/>
      </c>
      <c r="I271" s="14" t="str">
        <f aca="false">IF(OR(B271="",G271="",G271=0),"",D271/G271*1000)</f>
        <v/>
      </c>
    </row>
    <row r="272" customFormat="false" ht="15" hidden="false" customHeight="true" outlineLevel="0" collapsed="false">
      <c r="A272" s="26"/>
      <c r="D272" s="31"/>
      <c r="F272" s="22"/>
      <c r="G272" s="22"/>
      <c r="H272" s="32" t="str">
        <f aca="false">IF(OR(B272="",F272="",F272=0),"",D272/F272)</f>
        <v/>
      </c>
      <c r="I272" s="14" t="str">
        <f aca="false">IF(OR(B272="",G272="",G272=0),"",D272/G272*1000)</f>
        <v/>
      </c>
    </row>
    <row r="273" customFormat="false" ht="15" hidden="false" customHeight="true" outlineLevel="0" collapsed="false">
      <c r="A273" s="26"/>
      <c r="D273" s="31"/>
      <c r="F273" s="22"/>
      <c r="G273" s="22"/>
      <c r="H273" s="32" t="str">
        <f aca="false">IF(OR(B273="",F273="",F273=0),"",D273/F273)</f>
        <v/>
      </c>
      <c r="I273" s="14" t="str">
        <f aca="false">IF(OR(B273="",G273="",G273=0),"",D273/G273*1000)</f>
        <v/>
      </c>
    </row>
    <row r="274" customFormat="false" ht="15" hidden="false" customHeight="true" outlineLevel="0" collapsed="false">
      <c r="A274" s="26"/>
      <c r="D274" s="31"/>
      <c r="F274" s="22"/>
      <c r="G274" s="22"/>
      <c r="H274" s="32" t="str">
        <f aca="false">IF(OR(B274="",F274="",F274=0),"",D274/F274)</f>
        <v/>
      </c>
      <c r="I274" s="14" t="str">
        <f aca="false">IF(OR(B274="",G274="",G274=0),"",D274/G274*1000)</f>
        <v/>
      </c>
    </row>
    <row r="275" customFormat="false" ht="15" hidden="false" customHeight="true" outlineLevel="0" collapsed="false">
      <c r="A275" s="26"/>
      <c r="D275" s="31"/>
      <c r="F275" s="22"/>
      <c r="G275" s="22"/>
      <c r="H275" s="32" t="str">
        <f aca="false">IF(OR(B275="",F275="",F275=0),"",D275/F275)</f>
        <v/>
      </c>
      <c r="I275" s="14" t="str">
        <f aca="false">IF(OR(B275="",G275="",G275=0),"",D275/G275*1000)</f>
        <v/>
      </c>
    </row>
    <row r="276" customFormat="false" ht="15" hidden="false" customHeight="true" outlineLevel="0" collapsed="false">
      <c r="A276" s="26"/>
      <c r="D276" s="31"/>
      <c r="F276" s="22"/>
      <c r="G276" s="22"/>
      <c r="H276" s="32" t="str">
        <f aca="false">IF(OR(B276="",F276="",F276=0),"",D276/F276)</f>
        <v/>
      </c>
      <c r="I276" s="14" t="str">
        <f aca="false">IF(OR(B276="",G276="",G276=0),"",D276/G276*1000)</f>
        <v/>
      </c>
    </row>
    <row r="277" customFormat="false" ht="15" hidden="false" customHeight="true" outlineLevel="0" collapsed="false">
      <c r="A277" s="26"/>
      <c r="D277" s="31"/>
      <c r="F277" s="22"/>
      <c r="G277" s="22"/>
      <c r="H277" s="32" t="str">
        <f aca="false">IF(OR(B277="",F277="",F277=0),"",D277/F277)</f>
        <v/>
      </c>
      <c r="I277" s="14" t="str">
        <f aca="false">IF(OR(B277="",G277="",G277=0),"",D277/G277*1000)</f>
        <v/>
      </c>
    </row>
    <row r="278" customFormat="false" ht="15" hidden="false" customHeight="true" outlineLevel="0" collapsed="false">
      <c r="A278" s="26"/>
      <c r="D278" s="31"/>
      <c r="F278" s="22"/>
      <c r="G278" s="22"/>
      <c r="H278" s="32" t="str">
        <f aca="false">IF(OR(B278="",F278="",F278=0),"",D278/F278)</f>
        <v/>
      </c>
      <c r="I278" s="14" t="str">
        <f aca="false">IF(OR(B278="",G278="",G278=0),"",D278/G278*1000)</f>
        <v/>
      </c>
    </row>
    <row r="279" customFormat="false" ht="15" hidden="false" customHeight="true" outlineLevel="0" collapsed="false">
      <c r="A279" s="26"/>
      <c r="D279" s="31"/>
      <c r="F279" s="22"/>
      <c r="G279" s="22"/>
      <c r="H279" s="32" t="str">
        <f aca="false">IF(OR(B279="",F279="",F279=0),"",D279/F279)</f>
        <v/>
      </c>
      <c r="I279" s="14" t="str">
        <f aca="false">IF(OR(B279="",G279="",G279=0),"",D279/G279*1000)</f>
        <v/>
      </c>
    </row>
    <row r="280" customFormat="false" ht="15" hidden="false" customHeight="true" outlineLevel="0" collapsed="false">
      <c r="A280" s="26"/>
      <c r="D280" s="31"/>
      <c r="F280" s="22"/>
      <c r="G280" s="22"/>
      <c r="H280" s="32" t="str">
        <f aca="false">IF(OR(B280="",F280="",F280=0),"",D280/F280)</f>
        <v/>
      </c>
      <c r="I280" s="14" t="str">
        <f aca="false">IF(OR(B280="",G280="",G280=0),"",D280/G280*1000)</f>
        <v/>
      </c>
    </row>
    <row r="281" customFormat="false" ht="15" hidden="false" customHeight="true" outlineLevel="0" collapsed="false">
      <c r="A281" s="26"/>
      <c r="D281" s="31"/>
      <c r="F281" s="22"/>
      <c r="G281" s="22"/>
      <c r="H281" s="32" t="str">
        <f aca="false">IF(OR(B281="",F281="",F281=0),"",D281/F281)</f>
        <v/>
      </c>
      <c r="I281" s="14" t="str">
        <f aca="false">IF(OR(B281="",G281="",G281=0),"",D281/G281*1000)</f>
        <v/>
      </c>
    </row>
    <row r="282" customFormat="false" ht="15" hidden="false" customHeight="true" outlineLevel="0" collapsed="false">
      <c r="A282" s="26"/>
      <c r="D282" s="31"/>
      <c r="F282" s="22"/>
      <c r="G282" s="22"/>
      <c r="H282" s="32" t="str">
        <f aca="false">IF(OR(B282="",F282="",F282=0),"",D282/F282)</f>
        <v/>
      </c>
      <c r="I282" s="14" t="str">
        <f aca="false">IF(OR(B282="",G282="",G282=0),"",D282/G282*1000)</f>
        <v/>
      </c>
    </row>
    <row r="283" customFormat="false" ht="15" hidden="false" customHeight="true" outlineLevel="0" collapsed="false">
      <c r="A283" s="26"/>
      <c r="D283" s="31"/>
      <c r="F283" s="22"/>
      <c r="G283" s="22"/>
      <c r="H283" s="32" t="str">
        <f aca="false">IF(OR(B283="",F283="",F283=0),"",D283/F283)</f>
        <v/>
      </c>
      <c r="I283" s="14" t="str">
        <f aca="false">IF(OR(B283="",G283="",G283=0),"",D283/G283*1000)</f>
        <v/>
      </c>
    </row>
    <row r="284" customFormat="false" ht="15" hidden="false" customHeight="true" outlineLevel="0" collapsed="false">
      <c r="A284" s="26"/>
      <c r="D284" s="31"/>
      <c r="F284" s="22"/>
      <c r="G284" s="22"/>
      <c r="H284" s="32" t="str">
        <f aca="false">IF(OR(B284="",F284="",F284=0),"",D284/F284)</f>
        <v/>
      </c>
      <c r="I284" s="14" t="str">
        <f aca="false">IF(OR(B284="",G284="",G284=0),"",D284/G284*1000)</f>
        <v/>
      </c>
    </row>
    <row r="285" customFormat="false" ht="15" hidden="false" customHeight="true" outlineLevel="0" collapsed="false">
      <c r="A285" s="26"/>
      <c r="D285" s="31"/>
      <c r="F285" s="22"/>
      <c r="G285" s="22"/>
      <c r="H285" s="32" t="str">
        <f aca="false">IF(OR(B285="",F285="",F285=0),"",D285/F285)</f>
        <v/>
      </c>
      <c r="I285" s="14" t="str">
        <f aca="false">IF(OR(B285="",G285="",G285=0),"",D285/G285*1000)</f>
        <v/>
      </c>
    </row>
    <row r="286" customFormat="false" ht="15" hidden="false" customHeight="true" outlineLevel="0" collapsed="false">
      <c r="A286" s="26"/>
      <c r="D286" s="31"/>
      <c r="F286" s="22"/>
      <c r="G286" s="22"/>
      <c r="H286" s="32" t="str">
        <f aca="false">IF(OR(B286="",F286="",F286=0),"",D286/F286)</f>
        <v/>
      </c>
      <c r="I286" s="14" t="str">
        <f aca="false">IF(OR(B286="",G286="",G286=0),"",D286/G286*1000)</f>
        <v/>
      </c>
    </row>
    <row r="287" customFormat="false" ht="15" hidden="false" customHeight="true" outlineLevel="0" collapsed="false">
      <c r="A287" s="26"/>
      <c r="D287" s="31"/>
      <c r="F287" s="22"/>
      <c r="G287" s="22"/>
      <c r="H287" s="32" t="str">
        <f aca="false">IF(OR(B287="",F287="",F287=0),"",D287/F287)</f>
        <v/>
      </c>
      <c r="I287" s="14" t="str">
        <f aca="false">IF(OR(B287="",G287="",G287=0),"",D287/G287*1000)</f>
        <v/>
      </c>
    </row>
    <row r="288" customFormat="false" ht="15" hidden="false" customHeight="true" outlineLevel="0" collapsed="false">
      <c r="A288" s="26"/>
      <c r="D288" s="31"/>
      <c r="F288" s="22"/>
      <c r="G288" s="22"/>
      <c r="H288" s="32" t="str">
        <f aca="false">IF(OR(B288="",F288="",F288=0),"",D288/F288)</f>
        <v/>
      </c>
      <c r="I288" s="14" t="str">
        <f aca="false">IF(OR(B288="",G288="",G288=0),"",D288/G288*1000)</f>
        <v/>
      </c>
    </row>
    <row r="289" customFormat="false" ht="15" hidden="false" customHeight="true" outlineLevel="0" collapsed="false">
      <c r="A289" s="26"/>
      <c r="D289" s="31"/>
      <c r="F289" s="22"/>
      <c r="G289" s="22"/>
      <c r="H289" s="32" t="str">
        <f aca="false">IF(OR(B289="",F289="",F289=0),"",D289/F289)</f>
        <v/>
      </c>
      <c r="I289" s="14" t="str">
        <f aca="false">IF(OR(B289="",G289="",G289=0),"",D289/G289*1000)</f>
        <v/>
      </c>
    </row>
    <row r="290" customFormat="false" ht="15" hidden="false" customHeight="true" outlineLevel="0" collapsed="false">
      <c r="A290" s="26"/>
      <c r="D290" s="31"/>
      <c r="F290" s="22"/>
      <c r="G290" s="22"/>
      <c r="H290" s="32" t="str">
        <f aca="false">IF(OR(B290="",F290="",F290=0),"",D290/F290)</f>
        <v/>
      </c>
      <c r="I290" s="14" t="str">
        <f aca="false">IF(OR(B290="",G290="",G290=0),"",D290/G290*1000)</f>
        <v/>
      </c>
    </row>
    <row r="291" customFormat="false" ht="15" hidden="false" customHeight="true" outlineLevel="0" collapsed="false">
      <c r="A291" s="26"/>
      <c r="D291" s="31"/>
      <c r="F291" s="22"/>
      <c r="G291" s="22"/>
      <c r="H291" s="32" t="str">
        <f aca="false">IF(OR(B291="",F291="",F291=0),"",D291/F291)</f>
        <v/>
      </c>
      <c r="I291" s="14" t="str">
        <f aca="false">IF(OR(B291="",G291="",G291=0),"",D291/G291*1000)</f>
        <v/>
      </c>
    </row>
    <row r="292" customFormat="false" ht="15" hidden="false" customHeight="true" outlineLevel="0" collapsed="false">
      <c r="A292" s="26"/>
      <c r="D292" s="31"/>
      <c r="F292" s="22"/>
      <c r="G292" s="22"/>
      <c r="H292" s="32" t="str">
        <f aca="false">IF(OR(B292="",F292="",F292=0),"",D292/F292)</f>
        <v/>
      </c>
      <c r="I292" s="14" t="str">
        <f aca="false">IF(OR(B292="",G292="",G292=0),"",D292/G292*1000)</f>
        <v/>
      </c>
    </row>
    <row r="293" customFormat="false" ht="15" hidden="false" customHeight="true" outlineLevel="0" collapsed="false">
      <c r="A293" s="26"/>
      <c r="D293" s="31"/>
      <c r="F293" s="22"/>
      <c r="G293" s="22"/>
      <c r="H293" s="32" t="str">
        <f aca="false">IF(OR(B293="",F293="",F293=0),"",D293/F293)</f>
        <v/>
      </c>
      <c r="I293" s="14" t="str">
        <f aca="false">IF(OR(B293="",G293="",G293=0),"",D293/G293*1000)</f>
        <v/>
      </c>
    </row>
    <row r="294" customFormat="false" ht="15" hidden="false" customHeight="true" outlineLevel="0" collapsed="false">
      <c r="A294" s="26"/>
      <c r="D294" s="31"/>
      <c r="F294" s="22"/>
      <c r="G294" s="22"/>
      <c r="H294" s="32" t="str">
        <f aca="false">IF(OR(B294="",F294="",F294=0),"",D294/F294)</f>
        <v/>
      </c>
      <c r="I294" s="14" t="str">
        <f aca="false">IF(OR(B294="",G294="",G294=0),"",D294/G294*1000)</f>
        <v/>
      </c>
    </row>
    <row r="295" customFormat="false" ht="15" hidden="false" customHeight="true" outlineLevel="0" collapsed="false">
      <c r="A295" s="26"/>
      <c r="D295" s="31"/>
      <c r="F295" s="22"/>
      <c r="G295" s="22"/>
      <c r="H295" s="32" t="str">
        <f aca="false">IF(OR(B295="",F295="",F295=0),"",D295/F295)</f>
        <v/>
      </c>
      <c r="I295" s="14" t="str">
        <f aca="false">IF(OR(B295="",G295="",G295=0),"",D295/G295*1000)</f>
        <v/>
      </c>
    </row>
    <row r="296" customFormat="false" ht="15" hidden="false" customHeight="true" outlineLevel="0" collapsed="false">
      <c r="A296" s="26"/>
      <c r="D296" s="31"/>
      <c r="F296" s="22"/>
      <c r="G296" s="22"/>
      <c r="H296" s="32" t="str">
        <f aca="false">IF(OR(B296="",F296="",F296=0),"",D296/F296)</f>
        <v/>
      </c>
      <c r="I296" s="14" t="str">
        <f aca="false">IF(OR(B296="",G296="",G296=0),"",D296/G296*1000)</f>
        <v/>
      </c>
    </row>
    <row r="297" customFormat="false" ht="15" hidden="false" customHeight="true" outlineLevel="0" collapsed="false">
      <c r="A297" s="26"/>
      <c r="D297" s="31"/>
      <c r="F297" s="22"/>
      <c r="G297" s="22"/>
      <c r="H297" s="32" t="str">
        <f aca="false">IF(OR(B297="",F297="",F297=0),"",D297/F297)</f>
        <v/>
      </c>
      <c r="I297" s="14" t="str">
        <f aca="false">IF(OR(B297="",G297="",G297=0),"",D297/G297*1000)</f>
        <v/>
      </c>
    </row>
    <row r="298" customFormat="false" ht="15" hidden="false" customHeight="true" outlineLevel="0" collapsed="false">
      <c r="A298" s="26"/>
      <c r="D298" s="31"/>
      <c r="F298" s="22"/>
      <c r="G298" s="22"/>
      <c r="H298" s="32" t="str">
        <f aca="false">IF(OR(B298="",F298="",F298=0),"",D298/F298)</f>
        <v/>
      </c>
      <c r="I298" s="14" t="str">
        <f aca="false">IF(OR(B298="",G298="",G298=0),"",D298/G298*1000)</f>
        <v/>
      </c>
    </row>
    <row r="299" customFormat="false" ht="15" hidden="false" customHeight="true" outlineLevel="0" collapsed="false">
      <c r="A299" s="26"/>
      <c r="D299" s="31"/>
      <c r="F299" s="22"/>
      <c r="G299" s="22"/>
      <c r="H299" s="32" t="str">
        <f aca="false">IF(OR(B299="",F299="",F299=0),"",D299/F299)</f>
        <v/>
      </c>
      <c r="I299" s="14" t="str">
        <f aca="false">IF(OR(B299="",G299="",G299=0),"",D299/G299*1000)</f>
        <v/>
      </c>
    </row>
    <row r="300" customFormat="false" ht="15" hidden="false" customHeight="true" outlineLevel="0" collapsed="false">
      <c r="A300" s="26"/>
      <c r="D300" s="31"/>
      <c r="F300" s="22"/>
      <c r="G300" s="22"/>
      <c r="H300" s="32" t="str">
        <f aca="false">IF(OR(B300="",F300="",F300=0),"",D300/F300)</f>
        <v/>
      </c>
      <c r="I300" s="14" t="str">
        <f aca="false">IF(OR(B300="",G300="",G300=0),"",D300/G300*1000)</f>
        <v/>
      </c>
    </row>
    <row r="301" customFormat="false" ht="15" hidden="false" customHeight="true" outlineLevel="0" collapsed="false">
      <c r="A301" s="26"/>
      <c r="D301" s="31"/>
      <c r="F301" s="22"/>
      <c r="G301" s="22"/>
      <c r="H301" s="32" t="str">
        <f aca="false">IF(OR(B301="",F301="",F301=0),"",D301/F301)</f>
        <v/>
      </c>
      <c r="I301" s="14" t="str">
        <f aca="false">IF(OR(B301="",G301="",G301=0),"",D301/G301*1000)</f>
        <v/>
      </c>
    </row>
    <row r="302" customFormat="false" ht="15" hidden="false" customHeight="true" outlineLevel="0" collapsed="false">
      <c r="A302" s="26"/>
      <c r="D302" s="31"/>
      <c r="F302" s="22"/>
      <c r="G302" s="22"/>
      <c r="H302" s="32" t="str">
        <f aca="false">IF(OR(B302="",F302="",F302=0),"",D302/F302)</f>
        <v/>
      </c>
      <c r="I302" s="14" t="str">
        <f aca="false">IF(OR(B302="",G302="",G302=0),"",D302/G302*1000)</f>
        <v/>
      </c>
    </row>
    <row r="303" customFormat="false" ht="15" hidden="false" customHeight="true" outlineLevel="0" collapsed="false">
      <c r="A303" s="26"/>
      <c r="D303" s="31"/>
      <c r="F303" s="22"/>
      <c r="G303" s="22"/>
      <c r="H303" s="32" t="str">
        <f aca="false">IF(OR(B303="",F303="",F303=0),"",D303/F303)</f>
        <v/>
      </c>
      <c r="I303" s="14" t="str">
        <f aca="false">IF(OR(B303="",G303="",G303=0),"",D303/G303*1000)</f>
        <v/>
      </c>
    </row>
    <row r="304" customFormat="false" ht="15" hidden="false" customHeight="true" outlineLevel="0" collapsed="false">
      <c r="A304" s="26"/>
      <c r="D304" s="31"/>
      <c r="F304" s="22"/>
      <c r="G304" s="22"/>
      <c r="H304" s="32" t="str">
        <f aca="false">IF(OR(B304="",F304="",F304=0),"",D304/F304)</f>
        <v/>
      </c>
      <c r="I304" s="14" t="str">
        <f aca="false">IF(OR(B304="",G304="",G304=0),"",D304/G304*1000)</f>
        <v/>
      </c>
    </row>
    <row r="305" customFormat="false" ht="15" hidden="false" customHeight="true" outlineLevel="0" collapsed="false">
      <c r="A305" s="26"/>
      <c r="D305" s="31"/>
      <c r="F305" s="22"/>
      <c r="G305" s="22"/>
      <c r="H305" s="32" t="str">
        <f aca="false">IF(OR(B305="",F305="",F305=0),"",D305/F305)</f>
        <v/>
      </c>
      <c r="I305" s="14" t="str">
        <f aca="false">IF(OR(B305="",G305="",G305=0),"",D305/G305*1000)</f>
        <v/>
      </c>
    </row>
    <row r="306" customFormat="false" ht="15" hidden="false" customHeight="true" outlineLevel="0" collapsed="false">
      <c r="A306" s="26"/>
      <c r="D306" s="31"/>
      <c r="F306" s="22"/>
      <c r="G306" s="22"/>
      <c r="H306" s="32" t="str">
        <f aca="false">IF(OR(B306="",F306="",F306=0),"",D306/F306)</f>
        <v/>
      </c>
      <c r="I306" s="14" t="str">
        <f aca="false">IF(OR(B306="",G306="",G306=0),"",D306/G306*1000)</f>
        <v/>
      </c>
    </row>
    <row r="307" customFormat="false" ht="15" hidden="false" customHeight="true" outlineLevel="0" collapsed="false">
      <c r="A307" s="26"/>
      <c r="D307" s="31"/>
      <c r="F307" s="22"/>
      <c r="G307" s="22"/>
      <c r="H307" s="32" t="str">
        <f aca="false">IF(OR(B307="",F307="",F307=0),"",D307/F307)</f>
        <v/>
      </c>
      <c r="I307" s="14" t="str">
        <f aca="false">IF(OR(B307="",G307="",G307=0),"",D307/G307*1000)</f>
        <v/>
      </c>
    </row>
    <row r="308" customFormat="false" ht="15" hidden="false" customHeight="true" outlineLevel="0" collapsed="false">
      <c r="A308" s="26"/>
      <c r="D308" s="31"/>
      <c r="F308" s="22"/>
      <c r="G308" s="22"/>
      <c r="H308" s="32" t="str">
        <f aca="false">IF(OR(B308="",F308="",F308=0),"",D308/F308)</f>
        <v/>
      </c>
      <c r="I308" s="14" t="str">
        <f aca="false">IF(OR(B308="",G308="",G308=0),"",D308/G308*1000)</f>
        <v/>
      </c>
    </row>
    <row r="309" customFormat="false" ht="15" hidden="false" customHeight="true" outlineLevel="0" collapsed="false">
      <c r="A309" s="26"/>
      <c r="D309" s="31"/>
      <c r="F309" s="22"/>
      <c r="G309" s="22"/>
      <c r="H309" s="32" t="str">
        <f aca="false">IF(OR(B309="",F309="",F309=0),"",D309/F309)</f>
        <v/>
      </c>
      <c r="I309" s="14" t="str">
        <f aca="false">IF(OR(B309="",G309="",G309=0),"",D309/G309*1000)</f>
        <v/>
      </c>
    </row>
    <row r="310" customFormat="false" ht="15" hidden="false" customHeight="true" outlineLevel="0" collapsed="false">
      <c r="A310" s="26"/>
      <c r="D310" s="31"/>
      <c r="F310" s="22"/>
      <c r="G310" s="22"/>
      <c r="H310" s="32" t="str">
        <f aca="false">IF(OR(B310="",F310="",F310=0),"",D310/F310)</f>
        <v/>
      </c>
      <c r="I310" s="14" t="str">
        <f aca="false">IF(OR(B310="",G310="",G310=0),"",D310/G310*1000)</f>
        <v/>
      </c>
    </row>
    <row r="311" customFormat="false" ht="15" hidden="false" customHeight="true" outlineLevel="0" collapsed="false">
      <c r="A311" s="26"/>
      <c r="D311" s="31"/>
      <c r="F311" s="22"/>
      <c r="G311" s="22"/>
      <c r="H311" s="32" t="str">
        <f aca="false">IF(OR(B311="",F311="",F311=0),"",D311/F311)</f>
        <v/>
      </c>
      <c r="I311" s="14" t="str">
        <f aca="false">IF(OR(B311="",G311="",G311=0),"",D311/G311*1000)</f>
        <v/>
      </c>
    </row>
    <row r="312" customFormat="false" ht="15" hidden="false" customHeight="true" outlineLevel="0" collapsed="false">
      <c r="A312" s="26"/>
      <c r="D312" s="31"/>
      <c r="F312" s="22"/>
      <c r="G312" s="22"/>
      <c r="H312" s="32" t="str">
        <f aca="false">IF(OR(B312="",F312="",F312=0),"",D312/F312)</f>
        <v/>
      </c>
      <c r="I312" s="14" t="str">
        <f aca="false">IF(OR(B312="",G312="",G312=0),"",D312/G312*1000)</f>
        <v/>
      </c>
    </row>
    <row r="313" customFormat="false" ht="15" hidden="false" customHeight="true" outlineLevel="0" collapsed="false">
      <c r="A313" s="26"/>
      <c r="D313" s="31"/>
      <c r="F313" s="22"/>
      <c r="G313" s="22"/>
      <c r="H313" s="32" t="str">
        <f aca="false">IF(OR(B313="",F313="",F313=0),"",D313/F313)</f>
        <v/>
      </c>
      <c r="I313" s="14" t="str">
        <f aca="false">IF(OR(B313="",G313="",G313=0),"",D313/G313*1000)</f>
        <v/>
      </c>
    </row>
    <row r="314" customFormat="false" ht="15" hidden="false" customHeight="true" outlineLevel="0" collapsed="false">
      <c r="A314" s="26"/>
      <c r="D314" s="31"/>
      <c r="F314" s="22"/>
      <c r="G314" s="22"/>
      <c r="H314" s="32" t="str">
        <f aca="false">IF(OR(B314="",F314="",F314=0),"",D314/F314)</f>
        <v/>
      </c>
      <c r="I314" s="14" t="str">
        <f aca="false">IF(OR(B314="",G314="",G314=0),"",D314/G314*1000)</f>
        <v/>
      </c>
    </row>
    <row r="315" customFormat="false" ht="15" hidden="false" customHeight="true" outlineLevel="0" collapsed="false">
      <c r="A315" s="26"/>
      <c r="D315" s="31"/>
      <c r="F315" s="22"/>
      <c r="G315" s="22"/>
      <c r="H315" s="32" t="str">
        <f aca="false">IF(OR(B315="",F315="",F315=0),"",D315/F315)</f>
        <v/>
      </c>
      <c r="I315" s="14" t="str">
        <f aca="false">IF(OR(B315="",G315="",G315=0),"",D315/G315*1000)</f>
        <v/>
      </c>
    </row>
    <row r="316" customFormat="false" ht="15" hidden="false" customHeight="true" outlineLevel="0" collapsed="false">
      <c r="A316" s="26"/>
      <c r="D316" s="31"/>
      <c r="F316" s="22"/>
      <c r="G316" s="22"/>
      <c r="H316" s="32" t="str">
        <f aca="false">IF(OR(B316="",F316="",F316=0),"",D316/F316)</f>
        <v/>
      </c>
      <c r="I316" s="14" t="str">
        <f aca="false">IF(OR(B316="",G316="",G316=0),"",D316/G316*1000)</f>
        <v/>
      </c>
    </row>
    <row r="317" customFormat="false" ht="15" hidden="false" customHeight="true" outlineLevel="0" collapsed="false">
      <c r="A317" s="26"/>
      <c r="D317" s="31"/>
      <c r="F317" s="22"/>
      <c r="G317" s="22"/>
      <c r="H317" s="32" t="str">
        <f aca="false">IF(OR(B317="",F317="",F317=0),"",D317/F317)</f>
        <v/>
      </c>
      <c r="I317" s="14" t="str">
        <f aca="false">IF(OR(B317="",G317="",G317=0),"",D317/G317*1000)</f>
        <v/>
      </c>
    </row>
    <row r="318" customFormat="false" ht="15" hidden="false" customHeight="true" outlineLevel="0" collapsed="false">
      <c r="A318" s="26"/>
      <c r="D318" s="31"/>
      <c r="F318" s="22"/>
      <c r="G318" s="22"/>
      <c r="H318" s="32" t="str">
        <f aca="false">IF(OR(B318="",F318="",F318=0),"",D318/F318)</f>
        <v/>
      </c>
      <c r="I318" s="14" t="str">
        <f aca="false">IF(OR(B318="",G318="",G318=0),"",D318/G318*1000)</f>
        <v/>
      </c>
    </row>
    <row r="319" customFormat="false" ht="15" hidden="false" customHeight="true" outlineLevel="0" collapsed="false">
      <c r="A319" s="26"/>
      <c r="D319" s="31"/>
      <c r="F319" s="22"/>
      <c r="G319" s="22"/>
      <c r="H319" s="32" t="str">
        <f aca="false">IF(OR(B319="",F319="",F319=0),"",D319/F319)</f>
        <v/>
      </c>
      <c r="I319" s="14" t="str">
        <f aca="false">IF(OR(B319="",G319="",G319=0),"",D319/G319*1000)</f>
        <v/>
      </c>
    </row>
    <row r="320" customFormat="false" ht="15" hidden="false" customHeight="true" outlineLevel="0" collapsed="false">
      <c r="A320" s="26"/>
      <c r="D320" s="31"/>
      <c r="F320" s="22"/>
      <c r="G320" s="22"/>
      <c r="H320" s="32" t="str">
        <f aca="false">IF(OR(B320="",F320="",F320=0),"",D320/F320)</f>
        <v/>
      </c>
      <c r="I320" s="14" t="str">
        <f aca="false">IF(OR(B320="",G320="",G320=0),"",D320/G320*1000)</f>
        <v/>
      </c>
    </row>
    <row r="321" customFormat="false" ht="15" hidden="false" customHeight="true" outlineLevel="0" collapsed="false">
      <c r="A321" s="26"/>
      <c r="D321" s="31"/>
      <c r="F321" s="22"/>
      <c r="G321" s="22"/>
      <c r="H321" s="32" t="str">
        <f aca="false">IF(OR(B321="",F321="",F321=0),"",D321/F321)</f>
        <v/>
      </c>
      <c r="I321" s="14" t="str">
        <f aca="false">IF(OR(B321="",G321="",G321=0),"",D321/G321*1000)</f>
        <v/>
      </c>
    </row>
    <row r="322" customFormat="false" ht="15" hidden="false" customHeight="true" outlineLevel="0" collapsed="false">
      <c r="A322" s="26"/>
      <c r="D322" s="31"/>
      <c r="F322" s="22"/>
      <c r="G322" s="22"/>
      <c r="H322" s="32" t="str">
        <f aca="false">IF(OR(B322="",F322="",F322=0),"",D322/F322)</f>
        <v/>
      </c>
      <c r="I322" s="14" t="str">
        <f aca="false">IF(OR(B322="",G322="",G322=0),"",D322/G322*1000)</f>
        <v/>
      </c>
    </row>
    <row r="323" customFormat="false" ht="15" hidden="false" customHeight="true" outlineLevel="0" collapsed="false">
      <c r="A323" s="26"/>
      <c r="D323" s="31"/>
      <c r="F323" s="22"/>
      <c r="G323" s="22"/>
      <c r="H323" s="32" t="str">
        <f aca="false">IF(OR(B323="",F323="",F323=0),"",D323/F323)</f>
        <v/>
      </c>
      <c r="I323" s="14" t="str">
        <f aca="false">IF(OR(B323="",G323="",G323=0),"",D323/G323*1000)</f>
        <v/>
      </c>
    </row>
    <row r="324" customFormat="false" ht="15" hidden="false" customHeight="true" outlineLevel="0" collapsed="false">
      <c r="A324" s="26"/>
      <c r="D324" s="31"/>
      <c r="F324" s="22"/>
      <c r="G324" s="22"/>
      <c r="H324" s="32" t="str">
        <f aca="false">IF(OR(B324="",F324="",F324=0),"",D324/F324)</f>
        <v/>
      </c>
      <c r="I324" s="14" t="str">
        <f aca="false">IF(OR(B324="",G324="",G324=0),"",D324/G324*1000)</f>
        <v/>
      </c>
    </row>
    <row r="325" customFormat="false" ht="15" hidden="false" customHeight="true" outlineLevel="0" collapsed="false">
      <c r="A325" s="26"/>
      <c r="D325" s="31"/>
      <c r="F325" s="22"/>
      <c r="G325" s="22"/>
      <c r="H325" s="32" t="str">
        <f aca="false">IF(OR(B325="",F325="",F325=0),"",D325/F325)</f>
        <v/>
      </c>
      <c r="I325" s="14" t="str">
        <f aca="false">IF(OR(B325="",G325="",G325=0),"",D325/G325*1000)</f>
        <v/>
      </c>
    </row>
    <row r="326" customFormat="false" ht="15" hidden="false" customHeight="true" outlineLevel="0" collapsed="false">
      <c r="A326" s="26"/>
      <c r="D326" s="31"/>
      <c r="F326" s="22"/>
      <c r="G326" s="22"/>
      <c r="H326" s="32" t="str">
        <f aca="false">IF(OR(B326="",F326="",F326=0),"",D326/F326)</f>
        <v/>
      </c>
      <c r="I326" s="14" t="str">
        <f aca="false">IF(OR(B326="",G326="",G326=0),"",D326/G326*1000)</f>
        <v/>
      </c>
    </row>
    <row r="327" customFormat="false" ht="15" hidden="false" customHeight="true" outlineLevel="0" collapsed="false">
      <c r="A327" s="26"/>
      <c r="D327" s="31"/>
      <c r="F327" s="22"/>
      <c r="G327" s="22"/>
      <c r="H327" s="32" t="str">
        <f aca="false">IF(OR(B327="",F327="",F327=0),"",D327/F327)</f>
        <v/>
      </c>
      <c r="I327" s="14" t="str">
        <f aca="false">IF(OR(B327="",G327="",G327=0),"",D327/G327*1000)</f>
        <v/>
      </c>
    </row>
    <row r="328" customFormat="false" ht="15" hidden="false" customHeight="true" outlineLevel="0" collapsed="false">
      <c r="A328" s="26"/>
      <c r="D328" s="31"/>
      <c r="F328" s="22"/>
      <c r="G328" s="22"/>
      <c r="H328" s="32" t="str">
        <f aca="false">IF(OR(B328="",F328="",F328=0),"",D328/F328)</f>
        <v/>
      </c>
      <c r="I328" s="14" t="str">
        <f aca="false">IF(OR(B328="",G328="",G328=0),"",D328/G328*1000)</f>
        <v/>
      </c>
    </row>
    <row r="329" customFormat="false" ht="15" hidden="false" customHeight="true" outlineLevel="0" collapsed="false">
      <c r="A329" s="26"/>
      <c r="D329" s="31"/>
      <c r="F329" s="22"/>
      <c r="G329" s="22"/>
      <c r="H329" s="32" t="str">
        <f aca="false">IF(OR(B329="",F329="",F329=0),"",D329/F329)</f>
        <v/>
      </c>
      <c r="I329" s="14" t="str">
        <f aca="false">IF(OR(B329="",G329="",G329=0),"",D329/G329*1000)</f>
        <v/>
      </c>
    </row>
    <row r="330" customFormat="false" ht="15" hidden="false" customHeight="true" outlineLevel="0" collapsed="false">
      <c r="A330" s="26"/>
      <c r="D330" s="31"/>
      <c r="F330" s="22"/>
      <c r="G330" s="22"/>
      <c r="H330" s="32" t="str">
        <f aca="false">IF(OR(B330="",F330="",F330=0),"",D330/F330)</f>
        <v/>
      </c>
      <c r="I330" s="14" t="str">
        <f aca="false">IF(OR(B330="",G330="",G330=0),"",D330/G330*1000)</f>
        <v/>
      </c>
    </row>
    <row r="331" customFormat="false" ht="15" hidden="false" customHeight="true" outlineLevel="0" collapsed="false">
      <c r="A331" s="26"/>
      <c r="D331" s="31"/>
      <c r="F331" s="22"/>
      <c r="G331" s="22"/>
      <c r="H331" s="32" t="str">
        <f aca="false">IF(OR(B331="",F331="",F331=0),"",D331/F331)</f>
        <v/>
      </c>
      <c r="I331" s="14" t="str">
        <f aca="false">IF(OR(B331="",G331="",G331=0),"",D331/G331*1000)</f>
        <v/>
      </c>
    </row>
    <row r="332" customFormat="false" ht="15" hidden="false" customHeight="true" outlineLevel="0" collapsed="false">
      <c r="A332" s="26"/>
      <c r="D332" s="31"/>
      <c r="F332" s="22"/>
      <c r="G332" s="22"/>
      <c r="H332" s="32" t="str">
        <f aca="false">IF(OR(B332="",F332="",F332=0),"",D332/F332)</f>
        <v/>
      </c>
      <c r="I332" s="14" t="str">
        <f aca="false">IF(OR(B332="",G332="",G332=0),"",D332/G332*1000)</f>
        <v/>
      </c>
    </row>
    <row r="333" customFormat="false" ht="15" hidden="false" customHeight="true" outlineLevel="0" collapsed="false">
      <c r="A333" s="26"/>
      <c r="D333" s="31"/>
      <c r="F333" s="22"/>
      <c r="G333" s="22"/>
      <c r="H333" s="32" t="str">
        <f aca="false">IF(OR(B333="",F333="",F333=0),"",D333/F333)</f>
        <v/>
      </c>
      <c r="I333" s="14" t="str">
        <f aca="false">IF(OR(B333="",G333="",G333=0),"",D333/G333*1000)</f>
        <v/>
      </c>
    </row>
    <row r="334" customFormat="false" ht="15" hidden="false" customHeight="true" outlineLevel="0" collapsed="false">
      <c r="A334" s="26"/>
      <c r="D334" s="31"/>
      <c r="F334" s="22"/>
      <c r="G334" s="22"/>
      <c r="H334" s="32" t="str">
        <f aca="false">IF(OR(B334="",F334="",F334=0),"",D334/F334)</f>
        <v/>
      </c>
      <c r="I334" s="14" t="str">
        <f aca="false">IF(OR(B334="",G334="",G334=0),"",D334/G334*1000)</f>
        <v/>
      </c>
    </row>
    <row r="335" customFormat="false" ht="15" hidden="false" customHeight="true" outlineLevel="0" collapsed="false">
      <c r="A335" s="26"/>
      <c r="D335" s="31"/>
      <c r="F335" s="22"/>
      <c r="G335" s="22"/>
      <c r="H335" s="32" t="str">
        <f aca="false">IF(OR(B335="",F335="",F335=0),"",D335/F335)</f>
        <v/>
      </c>
      <c r="I335" s="14" t="str">
        <f aca="false">IF(OR(B335="",G335="",G335=0),"",D335/G335*1000)</f>
        <v/>
      </c>
    </row>
    <row r="336" customFormat="false" ht="15" hidden="false" customHeight="true" outlineLevel="0" collapsed="false">
      <c r="A336" s="26"/>
      <c r="D336" s="31"/>
      <c r="F336" s="22"/>
      <c r="G336" s="22"/>
      <c r="H336" s="32" t="str">
        <f aca="false">IF(OR(B336="",F336="",F336=0),"",D336/F336)</f>
        <v/>
      </c>
      <c r="I336" s="14" t="str">
        <f aca="false">IF(OR(B336="",G336="",G336=0),"",D336/G336*1000)</f>
        <v/>
      </c>
    </row>
    <row r="337" customFormat="false" ht="15" hidden="false" customHeight="true" outlineLevel="0" collapsed="false">
      <c r="A337" s="26"/>
      <c r="D337" s="31"/>
      <c r="F337" s="22"/>
      <c r="G337" s="22"/>
      <c r="H337" s="32" t="str">
        <f aca="false">IF(OR(B337="",F337="",F337=0),"",D337/F337)</f>
        <v/>
      </c>
      <c r="I337" s="14" t="str">
        <f aca="false">IF(OR(B337="",G337="",G337=0),"",D337/G337*1000)</f>
        <v/>
      </c>
    </row>
    <row r="338" customFormat="false" ht="15" hidden="false" customHeight="true" outlineLevel="0" collapsed="false">
      <c r="A338" s="26"/>
      <c r="D338" s="31"/>
      <c r="F338" s="22"/>
      <c r="G338" s="22"/>
      <c r="H338" s="32" t="str">
        <f aca="false">IF(OR(B338="",F338="",F338=0),"",D338/F338)</f>
        <v/>
      </c>
      <c r="I338" s="14" t="str">
        <f aca="false">IF(OR(B338="",G338="",G338=0),"",D338/G338*1000)</f>
        <v/>
      </c>
    </row>
    <row r="339" customFormat="false" ht="15" hidden="false" customHeight="true" outlineLevel="0" collapsed="false">
      <c r="A339" s="26"/>
      <c r="D339" s="31"/>
      <c r="F339" s="22"/>
      <c r="G339" s="22"/>
      <c r="H339" s="32" t="str">
        <f aca="false">IF(OR(B339="",F339="",F339=0),"",D339/F339)</f>
        <v/>
      </c>
      <c r="I339" s="14" t="str">
        <f aca="false">IF(OR(B339="",G339="",G339=0),"",D339/G339*1000)</f>
        <v/>
      </c>
    </row>
    <row r="340" customFormat="false" ht="15" hidden="false" customHeight="true" outlineLevel="0" collapsed="false">
      <c r="A340" s="26"/>
      <c r="D340" s="31"/>
      <c r="F340" s="22"/>
      <c r="G340" s="22"/>
      <c r="H340" s="32" t="str">
        <f aca="false">IF(OR(B340="",F340="",F340=0),"",D340/F340)</f>
        <v/>
      </c>
      <c r="I340" s="14" t="str">
        <f aca="false">IF(OR(B340="",G340="",G340=0),"",D340/G340*1000)</f>
        <v/>
      </c>
    </row>
    <row r="341" customFormat="false" ht="15" hidden="false" customHeight="true" outlineLevel="0" collapsed="false">
      <c r="A341" s="26"/>
      <c r="D341" s="31"/>
      <c r="F341" s="22"/>
      <c r="G341" s="22"/>
      <c r="H341" s="32" t="str">
        <f aca="false">IF(OR(B341="",F341="",F341=0),"",D341/F341)</f>
        <v/>
      </c>
      <c r="I341" s="14" t="str">
        <f aca="false">IF(OR(B341="",G341="",G341=0),"",D341/G341*1000)</f>
        <v/>
      </c>
    </row>
    <row r="342" customFormat="false" ht="15" hidden="false" customHeight="true" outlineLevel="0" collapsed="false">
      <c r="A342" s="26"/>
      <c r="D342" s="31"/>
      <c r="F342" s="22"/>
      <c r="G342" s="22"/>
      <c r="H342" s="32" t="str">
        <f aca="false">IF(OR(B342="",F342="",F342=0),"",D342/F342)</f>
        <v/>
      </c>
      <c r="I342" s="14" t="str">
        <f aca="false">IF(OR(B342="",G342="",G342=0),"",D342/G342*1000)</f>
        <v/>
      </c>
    </row>
    <row r="343" customFormat="false" ht="15" hidden="false" customHeight="true" outlineLevel="0" collapsed="false">
      <c r="A343" s="26"/>
      <c r="D343" s="31"/>
      <c r="F343" s="22"/>
      <c r="G343" s="22"/>
      <c r="H343" s="32" t="str">
        <f aca="false">IF(OR(B343="",F343="",F343=0),"",D343/F343)</f>
        <v/>
      </c>
      <c r="I343" s="14" t="str">
        <f aca="false">IF(OR(B343="",G343="",G343=0),"",D343/G343*1000)</f>
        <v/>
      </c>
    </row>
    <row r="344" customFormat="false" ht="15" hidden="false" customHeight="true" outlineLevel="0" collapsed="false">
      <c r="A344" s="26"/>
      <c r="D344" s="31"/>
      <c r="F344" s="22"/>
      <c r="G344" s="22"/>
      <c r="H344" s="32" t="str">
        <f aca="false">IF(OR(B344="",F344="",F344=0),"",D344/F344)</f>
        <v/>
      </c>
      <c r="I344" s="14" t="str">
        <f aca="false">IF(OR(B344="",G344="",G344=0),"",D344/G344*1000)</f>
        <v/>
      </c>
    </row>
    <row r="345" customFormat="false" ht="15" hidden="false" customHeight="true" outlineLevel="0" collapsed="false">
      <c r="A345" s="26"/>
      <c r="D345" s="31"/>
      <c r="F345" s="22"/>
      <c r="G345" s="22"/>
      <c r="H345" s="32" t="str">
        <f aca="false">IF(OR(B345="",F345="",F345=0),"",D345/F345)</f>
        <v/>
      </c>
      <c r="I345" s="14" t="str">
        <f aca="false">IF(OR(B345="",G345="",G345=0),"",D345/G345*1000)</f>
        <v/>
      </c>
    </row>
    <row r="346" customFormat="false" ht="15" hidden="false" customHeight="true" outlineLevel="0" collapsed="false">
      <c r="A346" s="26"/>
      <c r="D346" s="31"/>
      <c r="F346" s="22"/>
      <c r="G346" s="22"/>
      <c r="H346" s="32" t="str">
        <f aca="false">IF(OR(B346="",F346="",F346=0),"",D346/F346)</f>
        <v/>
      </c>
      <c r="I346" s="14" t="str">
        <f aca="false">IF(OR(B346="",G346="",G346=0),"",D346/G346*1000)</f>
        <v/>
      </c>
    </row>
    <row r="347" customFormat="false" ht="15" hidden="false" customHeight="true" outlineLevel="0" collapsed="false">
      <c r="A347" s="26"/>
      <c r="D347" s="31"/>
      <c r="F347" s="22"/>
      <c r="G347" s="22"/>
      <c r="H347" s="32" t="str">
        <f aca="false">IF(OR(B347="",F347="",F347=0),"",D347/F347)</f>
        <v/>
      </c>
      <c r="I347" s="14" t="str">
        <f aca="false">IF(OR(B347="",G347="",G347=0),"",D347/G347*1000)</f>
        <v/>
      </c>
    </row>
    <row r="348" customFormat="false" ht="15" hidden="false" customHeight="true" outlineLevel="0" collapsed="false">
      <c r="A348" s="26"/>
      <c r="D348" s="31"/>
      <c r="F348" s="22"/>
      <c r="G348" s="22"/>
      <c r="H348" s="32" t="str">
        <f aca="false">IF(OR(B348="",F348="",F348=0),"",D348/F348)</f>
        <v/>
      </c>
      <c r="I348" s="14" t="str">
        <f aca="false">IF(OR(B348="",G348="",G348=0),"",D348/G348*1000)</f>
        <v/>
      </c>
    </row>
    <row r="349" customFormat="false" ht="15" hidden="false" customHeight="true" outlineLevel="0" collapsed="false">
      <c r="A349" s="26"/>
      <c r="D349" s="31"/>
      <c r="F349" s="22"/>
      <c r="G349" s="22"/>
      <c r="H349" s="32" t="str">
        <f aca="false">IF(OR(B349="",F349="",F349=0),"",D349/F349)</f>
        <v/>
      </c>
      <c r="I349" s="14" t="str">
        <f aca="false">IF(OR(B349="",G349="",G349=0),"",D349/G349*1000)</f>
        <v/>
      </c>
    </row>
    <row r="350" customFormat="false" ht="15" hidden="false" customHeight="true" outlineLevel="0" collapsed="false">
      <c r="A350" s="26"/>
      <c r="D350" s="31"/>
      <c r="F350" s="22"/>
      <c r="G350" s="22"/>
      <c r="H350" s="32" t="str">
        <f aca="false">IF(OR(B350="",F350="",F350=0),"",D350/F350)</f>
        <v/>
      </c>
      <c r="I350" s="14" t="str">
        <f aca="false">IF(OR(B350="",G350="",G350=0),"",D350/G350*1000)</f>
        <v/>
      </c>
    </row>
    <row r="351" customFormat="false" ht="15" hidden="false" customHeight="true" outlineLevel="0" collapsed="false">
      <c r="A351" s="26"/>
      <c r="D351" s="31"/>
      <c r="F351" s="22"/>
      <c r="G351" s="22"/>
      <c r="H351" s="32" t="str">
        <f aca="false">IF(OR(B351="",F351="",F351=0),"",D351/F351)</f>
        <v/>
      </c>
      <c r="I351" s="14" t="str">
        <f aca="false">IF(OR(B351="",G351="",G351=0),"",D351/G351*1000)</f>
        <v/>
      </c>
    </row>
    <row r="352" customFormat="false" ht="15" hidden="false" customHeight="true" outlineLevel="0" collapsed="false">
      <c r="A352" s="26"/>
      <c r="D352" s="31"/>
      <c r="F352" s="22"/>
      <c r="G352" s="22"/>
      <c r="H352" s="32" t="str">
        <f aca="false">IF(OR(B352="",F352="",F352=0),"",D352/F352)</f>
        <v/>
      </c>
      <c r="I352" s="14" t="str">
        <f aca="false">IF(OR(B352="",G352="",G352=0),"",D352/G352*1000)</f>
        <v/>
      </c>
    </row>
    <row r="353" customFormat="false" ht="15" hidden="false" customHeight="true" outlineLevel="0" collapsed="false">
      <c r="A353" s="26"/>
      <c r="D353" s="31"/>
      <c r="F353" s="22"/>
      <c r="G353" s="22"/>
      <c r="H353" s="32" t="str">
        <f aca="false">IF(OR(B353="",F353="",F353=0),"",D353/F353)</f>
        <v/>
      </c>
      <c r="I353" s="14" t="str">
        <f aca="false">IF(OR(B353="",G353="",G353=0),"",D353/G353*1000)</f>
        <v/>
      </c>
    </row>
    <row r="354" customFormat="false" ht="15" hidden="false" customHeight="true" outlineLevel="0" collapsed="false">
      <c r="A354" s="26"/>
      <c r="D354" s="31"/>
      <c r="F354" s="22"/>
      <c r="G354" s="22"/>
      <c r="H354" s="32" t="str">
        <f aca="false">IF(OR(B354="",F354="",F354=0),"",D354/F354)</f>
        <v/>
      </c>
      <c r="I354" s="14" t="str">
        <f aca="false">IF(OR(B354="",G354="",G354=0),"",D354/G354*1000)</f>
        <v/>
      </c>
    </row>
    <row r="355" customFormat="false" ht="15" hidden="false" customHeight="true" outlineLevel="0" collapsed="false">
      <c r="A355" s="26"/>
      <c r="D355" s="31"/>
      <c r="F355" s="22"/>
      <c r="G355" s="22"/>
      <c r="H355" s="32" t="str">
        <f aca="false">IF(OR(B355="",F355="",F355=0),"",D355/F355)</f>
        <v/>
      </c>
      <c r="I355" s="14" t="str">
        <f aca="false">IF(OR(B355="",G355="",G355=0),"",D355/G355*1000)</f>
        <v/>
      </c>
    </row>
    <row r="356" customFormat="false" ht="15" hidden="false" customHeight="true" outlineLevel="0" collapsed="false">
      <c r="A356" s="26"/>
      <c r="D356" s="31"/>
      <c r="F356" s="22"/>
      <c r="G356" s="22"/>
      <c r="H356" s="32" t="str">
        <f aca="false">IF(OR(B356="",F356="",F356=0),"",D356/F356)</f>
        <v/>
      </c>
      <c r="I356" s="14" t="str">
        <f aca="false">IF(OR(B356="",G356="",G356=0),"",D356/G356*1000)</f>
        <v/>
      </c>
    </row>
    <row r="357" customFormat="false" ht="15" hidden="false" customHeight="true" outlineLevel="0" collapsed="false">
      <c r="A357" s="26"/>
      <c r="D357" s="31"/>
      <c r="F357" s="22"/>
      <c r="G357" s="22"/>
      <c r="H357" s="32" t="str">
        <f aca="false">IF(OR(B357="",F357="",F357=0),"",D357/F357)</f>
        <v/>
      </c>
      <c r="I357" s="14" t="str">
        <f aca="false">IF(OR(B357="",G357="",G357=0),"",D357/G357*1000)</f>
        <v/>
      </c>
    </row>
    <row r="358" customFormat="false" ht="15" hidden="false" customHeight="true" outlineLevel="0" collapsed="false">
      <c r="A358" s="26"/>
      <c r="D358" s="31"/>
      <c r="F358" s="22"/>
      <c r="G358" s="22"/>
      <c r="H358" s="32" t="str">
        <f aca="false">IF(OR(B358="",F358="",F358=0),"",D358/F358)</f>
        <v/>
      </c>
      <c r="I358" s="14" t="str">
        <f aca="false">IF(OR(B358="",G358="",G358=0),"",D358/G358*1000)</f>
        <v/>
      </c>
    </row>
    <row r="359" customFormat="false" ht="15" hidden="false" customHeight="true" outlineLevel="0" collapsed="false">
      <c r="A359" s="26"/>
      <c r="D359" s="31"/>
      <c r="F359" s="22"/>
      <c r="G359" s="22"/>
      <c r="H359" s="32" t="str">
        <f aca="false">IF(OR(B359="",F359="",F359=0),"",D359/F359)</f>
        <v/>
      </c>
      <c r="I359" s="14" t="str">
        <f aca="false">IF(OR(B359="",G359="",G359=0),"",D359/G359*1000)</f>
        <v/>
      </c>
    </row>
    <row r="360" customFormat="false" ht="15" hidden="false" customHeight="true" outlineLevel="0" collapsed="false">
      <c r="A360" s="26"/>
      <c r="D360" s="31"/>
      <c r="F360" s="22"/>
      <c r="G360" s="22"/>
      <c r="H360" s="32" t="str">
        <f aca="false">IF(OR(B360="",F360="",F360=0),"",D360/F360)</f>
        <v/>
      </c>
      <c r="I360" s="14" t="str">
        <f aca="false">IF(OR(B360="",G360="",G360=0),"",D360/G360*1000)</f>
        <v/>
      </c>
    </row>
    <row r="361" customFormat="false" ht="15" hidden="false" customHeight="true" outlineLevel="0" collapsed="false">
      <c r="A361" s="26"/>
      <c r="D361" s="31"/>
      <c r="F361" s="22"/>
      <c r="G361" s="22"/>
      <c r="H361" s="32" t="str">
        <f aca="false">IF(OR(B361="",F361="",F361=0),"",D361/F361)</f>
        <v/>
      </c>
      <c r="I361" s="14" t="str">
        <f aca="false">IF(OR(B361="",G361="",G361=0),"",D361/G361*1000)</f>
        <v/>
      </c>
    </row>
    <row r="362" customFormat="false" ht="15" hidden="false" customHeight="true" outlineLevel="0" collapsed="false">
      <c r="A362" s="26"/>
      <c r="D362" s="31"/>
      <c r="F362" s="22"/>
      <c r="G362" s="22"/>
      <c r="H362" s="32" t="str">
        <f aca="false">IF(OR(B362="",F362="",F362=0),"",D362/F362)</f>
        <v/>
      </c>
      <c r="I362" s="14" t="str">
        <f aca="false">IF(OR(B362="",G362="",G362=0),"",D362/G362*1000)</f>
        <v/>
      </c>
    </row>
    <row r="363" customFormat="false" ht="15" hidden="false" customHeight="true" outlineLevel="0" collapsed="false">
      <c r="A363" s="26"/>
      <c r="D363" s="31"/>
      <c r="F363" s="22"/>
      <c r="G363" s="22"/>
      <c r="H363" s="32" t="str">
        <f aca="false">IF(OR(B363="",F363="",F363=0),"",D363/F363)</f>
        <v/>
      </c>
      <c r="I363" s="14" t="str">
        <f aca="false">IF(OR(B363="",G363="",G363=0),"",D363/G363*1000)</f>
        <v/>
      </c>
    </row>
    <row r="364" customFormat="false" ht="15" hidden="false" customHeight="true" outlineLevel="0" collapsed="false">
      <c r="A364" s="26"/>
      <c r="D364" s="31"/>
      <c r="F364" s="22"/>
      <c r="G364" s="22"/>
      <c r="H364" s="32" t="str">
        <f aca="false">IF(OR(B364="",F364="",F364=0),"",D364/F364)</f>
        <v/>
      </c>
      <c r="I364" s="14" t="str">
        <f aca="false">IF(OR(B364="",G364="",G364=0),"",D364/G364*1000)</f>
        <v/>
      </c>
    </row>
    <row r="365" customFormat="false" ht="15" hidden="false" customHeight="true" outlineLevel="0" collapsed="false">
      <c r="A365" s="26"/>
      <c r="D365" s="31"/>
      <c r="F365" s="22"/>
      <c r="G365" s="22"/>
      <c r="H365" s="32" t="str">
        <f aca="false">IF(OR(B365="",F365="",F365=0),"",D365/F365)</f>
        <v/>
      </c>
      <c r="I365" s="14" t="str">
        <f aca="false">IF(OR(B365="",G365="",G365=0),"",D365/G365*1000)</f>
        <v/>
      </c>
    </row>
    <row r="366" customFormat="false" ht="15" hidden="false" customHeight="true" outlineLevel="0" collapsed="false">
      <c r="A366" s="26"/>
      <c r="D366" s="31"/>
      <c r="F366" s="22"/>
      <c r="G366" s="22"/>
      <c r="H366" s="32" t="str">
        <f aca="false">IF(OR(B366="",F366="",F366=0),"",D366/F366)</f>
        <v/>
      </c>
      <c r="I366" s="14" t="str">
        <f aca="false">IF(OR(B366="",G366="",G366=0),"",D366/G366*1000)</f>
        <v/>
      </c>
    </row>
    <row r="367" customFormat="false" ht="15" hidden="false" customHeight="true" outlineLevel="0" collapsed="false">
      <c r="A367" s="26"/>
      <c r="D367" s="31"/>
      <c r="F367" s="22"/>
      <c r="G367" s="22"/>
      <c r="H367" s="32" t="str">
        <f aca="false">IF(OR(B367="",F367="",F367=0),"",D367/F367)</f>
        <v/>
      </c>
      <c r="I367" s="14" t="str">
        <f aca="false">IF(OR(B367="",G367="",G367=0),"",D367/G367*1000)</f>
        <v/>
      </c>
    </row>
    <row r="368" customFormat="false" ht="15" hidden="false" customHeight="true" outlineLevel="0" collapsed="false">
      <c r="A368" s="26"/>
      <c r="D368" s="31"/>
      <c r="F368" s="22"/>
      <c r="G368" s="22"/>
      <c r="H368" s="32" t="str">
        <f aca="false">IF(OR(B368="",F368="",F368=0),"",D368/F368)</f>
        <v/>
      </c>
      <c r="I368" s="14" t="str">
        <f aca="false">IF(OR(B368="",G368="",G368=0),"",D368/G368*1000)</f>
        <v/>
      </c>
    </row>
    <row r="369" customFormat="false" ht="15" hidden="false" customHeight="true" outlineLevel="0" collapsed="false">
      <c r="A369" s="26"/>
      <c r="D369" s="31"/>
      <c r="F369" s="22"/>
      <c r="G369" s="22"/>
      <c r="H369" s="32" t="str">
        <f aca="false">IF(OR(B369="",F369="",F369=0),"",D369/F369)</f>
        <v/>
      </c>
      <c r="I369" s="14" t="str">
        <f aca="false">IF(OR(B369="",G369="",G369=0),"",D369/G369*1000)</f>
        <v/>
      </c>
    </row>
    <row r="370" customFormat="false" ht="15" hidden="false" customHeight="true" outlineLevel="0" collapsed="false">
      <c r="A370" s="26"/>
      <c r="D370" s="31"/>
      <c r="F370" s="22"/>
      <c r="G370" s="22"/>
      <c r="H370" s="32" t="str">
        <f aca="false">IF(OR(B370="",F370="",F370=0),"",D370/F370)</f>
        <v/>
      </c>
      <c r="I370" s="14" t="str">
        <f aca="false">IF(OR(B370="",G370="",G370=0),"",D370/G370*1000)</f>
        <v/>
      </c>
    </row>
    <row r="371" customFormat="false" ht="15" hidden="false" customHeight="true" outlineLevel="0" collapsed="false">
      <c r="A371" s="26"/>
      <c r="D371" s="31"/>
      <c r="F371" s="22"/>
      <c r="G371" s="22"/>
      <c r="H371" s="32" t="str">
        <f aca="false">IF(OR(B371="",F371="",F371=0),"",D371/F371)</f>
        <v/>
      </c>
      <c r="I371" s="14" t="str">
        <f aca="false">IF(OR(B371="",G371="",G371=0),"",D371/G371*1000)</f>
        <v/>
      </c>
    </row>
    <row r="372" customFormat="false" ht="15" hidden="false" customHeight="true" outlineLevel="0" collapsed="false">
      <c r="A372" s="26"/>
      <c r="D372" s="31"/>
      <c r="F372" s="22"/>
      <c r="G372" s="22"/>
      <c r="H372" s="32" t="str">
        <f aca="false">IF(OR(B372="",F372="",F372=0),"",D372/F372)</f>
        <v/>
      </c>
      <c r="I372" s="14" t="str">
        <f aca="false">IF(OR(B372="",G372="",G372=0),"",D372/G372*1000)</f>
        <v/>
      </c>
    </row>
    <row r="373" customFormat="false" ht="15" hidden="false" customHeight="true" outlineLevel="0" collapsed="false">
      <c r="A373" s="26"/>
      <c r="D373" s="31"/>
      <c r="F373" s="22"/>
      <c r="G373" s="22"/>
      <c r="H373" s="32" t="str">
        <f aca="false">IF(OR(B373="",F373="",F373=0),"",D373/F373)</f>
        <v/>
      </c>
      <c r="I373" s="14" t="str">
        <f aca="false">IF(OR(B373="",G373="",G373=0),"",D373/G373*1000)</f>
        <v/>
      </c>
    </row>
    <row r="374" customFormat="false" ht="15" hidden="false" customHeight="true" outlineLevel="0" collapsed="false">
      <c r="A374" s="26"/>
      <c r="D374" s="31"/>
      <c r="F374" s="22"/>
      <c r="G374" s="22"/>
      <c r="H374" s="32" t="str">
        <f aca="false">IF(OR(B374="",F374="",F374=0),"",D374/F374)</f>
        <v/>
      </c>
      <c r="I374" s="14" t="str">
        <f aca="false">IF(OR(B374="",G374="",G374=0),"",D374/G374*1000)</f>
        <v/>
      </c>
    </row>
    <row r="375" customFormat="false" ht="15" hidden="false" customHeight="true" outlineLevel="0" collapsed="false">
      <c r="A375" s="26"/>
      <c r="D375" s="31"/>
      <c r="F375" s="22"/>
      <c r="G375" s="22"/>
      <c r="H375" s="32" t="str">
        <f aca="false">IF(OR(B375="",F375="",F375=0),"",D375/F375)</f>
        <v/>
      </c>
      <c r="I375" s="14" t="str">
        <f aca="false">IF(OR(B375="",G375="",G375=0),"",D375/G375*1000)</f>
        <v/>
      </c>
    </row>
    <row r="376" customFormat="false" ht="15" hidden="false" customHeight="true" outlineLevel="0" collapsed="false">
      <c r="A376" s="26"/>
      <c r="D376" s="31"/>
      <c r="F376" s="22"/>
      <c r="G376" s="22"/>
      <c r="H376" s="32" t="str">
        <f aca="false">IF(OR(B376="",F376="",F376=0),"",D376/F376)</f>
        <v/>
      </c>
      <c r="I376" s="14" t="str">
        <f aca="false">IF(OR(B376="",G376="",G376=0),"",D376/G376*1000)</f>
        <v/>
      </c>
    </row>
    <row r="377" customFormat="false" ht="15" hidden="false" customHeight="true" outlineLevel="0" collapsed="false">
      <c r="A377" s="26"/>
      <c r="D377" s="31"/>
      <c r="F377" s="22"/>
      <c r="G377" s="22"/>
      <c r="H377" s="32" t="str">
        <f aca="false">IF(OR(B377="",F377="",F377=0),"",D377/F377)</f>
        <v/>
      </c>
      <c r="I377" s="14" t="str">
        <f aca="false">IF(OR(B377="",G377="",G377=0),"",D377/G377*1000)</f>
        <v/>
      </c>
    </row>
    <row r="378" customFormat="false" ht="15" hidden="false" customHeight="true" outlineLevel="0" collapsed="false">
      <c r="A378" s="26"/>
      <c r="D378" s="31"/>
      <c r="F378" s="22"/>
      <c r="G378" s="22"/>
      <c r="H378" s="32" t="str">
        <f aca="false">IF(OR(B378="",F378="",F378=0),"",D378/F378)</f>
        <v/>
      </c>
      <c r="I378" s="14" t="str">
        <f aca="false">IF(OR(B378="",G378="",G378=0),"",D378/G378*1000)</f>
        <v/>
      </c>
    </row>
    <row r="379" customFormat="false" ht="15" hidden="false" customHeight="true" outlineLevel="0" collapsed="false">
      <c r="A379" s="26"/>
      <c r="D379" s="31"/>
      <c r="F379" s="22"/>
      <c r="G379" s="22"/>
      <c r="H379" s="32" t="str">
        <f aca="false">IF(OR(B379="",F379="",F379=0),"",D379/F379)</f>
        <v/>
      </c>
      <c r="I379" s="14" t="str">
        <f aca="false">IF(OR(B379="",G379="",G379=0),"",D379/G379*1000)</f>
        <v/>
      </c>
    </row>
    <row r="380" customFormat="false" ht="15" hidden="false" customHeight="true" outlineLevel="0" collapsed="false">
      <c r="A380" s="26"/>
      <c r="D380" s="31"/>
      <c r="F380" s="22"/>
      <c r="G380" s="22"/>
      <c r="H380" s="32" t="str">
        <f aca="false">IF(OR(B380="",F380="",F380=0),"",D380/F380)</f>
        <v/>
      </c>
      <c r="I380" s="14" t="str">
        <f aca="false">IF(OR(B380="",G380="",G380=0),"",D380/G380*1000)</f>
        <v/>
      </c>
    </row>
    <row r="381" customFormat="false" ht="15" hidden="false" customHeight="true" outlineLevel="0" collapsed="false">
      <c r="A381" s="26"/>
      <c r="D381" s="31"/>
      <c r="F381" s="22"/>
      <c r="G381" s="22"/>
      <c r="H381" s="32" t="str">
        <f aca="false">IF(OR(B381="",F381="",F381=0),"",D381/F381)</f>
        <v/>
      </c>
      <c r="I381" s="14" t="str">
        <f aca="false">IF(OR(B381="",G381="",G381=0),"",D381/G381*1000)</f>
        <v/>
      </c>
    </row>
    <row r="382" customFormat="false" ht="15" hidden="false" customHeight="true" outlineLevel="0" collapsed="false">
      <c r="A382" s="26"/>
      <c r="D382" s="31"/>
      <c r="F382" s="22"/>
      <c r="G382" s="22"/>
      <c r="H382" s="32" t="str">
        <f aca="false">IF(OR(B382="",F382="",F382=0),"",D382/F382)</f>
        <v/>
      </c>
      <c r="I382" s="14" t="str">
        <f aca="false">IF(OR(B382="",G382="",G382=0),"",D382/G382*1000)</f>
        <v/>
      </c>
    </row>
    <row r="383" customFormat="false" ht="15" hidden="false" customHeight="true" outlineLevel="0" collapsed="false">
      <c r="A383" s="26"/>
      <c r="D383" s="31"/>
      <c r="F383" s="22"/>
      <c r="G383" s="22"/>
      <c r="H383" s="32" t="str">
        <f aca="false">IF(OR(B383="",F383="",F383=0),"",D383/F383)</f>
        <v/>
      </c>
      <c r="I383" s="14" t="str">
        <f aca="false">IF(OR(B383="",G383="",G383=0),"",D383/G383*1000)</f>
        <v/>
      </c>
    </row>
    <row r="384" customFormat="false" ht="15" hidden="false" customHeight="true" outlineLevel="0" collapsed="false">
      <c r="A384" s="26"/>
      <c r="D384" s="31"/>
      <c r="F384" s="22"/>
      <c r="G384" s="22"/>
      <c r="H384" s="32" t="str">
        <f aca="false">IF(OR(B384="",F384="",F384=0),"",D384/F384)</f>
        <v/>
      </c>
      <c r="I384" s="14" t="str">
        <f aca="false">IF(OR(B384="",G384="",G384=0),"",D384/G384*1000)</f>
        <v/>
      </c>
    </row>
    <row r="385" customFormat="false" ht="15" hidden="false" customHeight="true" outlineLevel="0" collapsed="false">
      <c r="A385" s="26"/>
      <c r="D385" s="31"/>
      <c r="F385" s="22"/>
      <c r="G385" s="22"/>
      <c r="H385" s="32" t="str">
        <f aca="false">IF(OR(B385="",F385="",F385=0),"",D385/F385)</f>
        <v/>
      </c>
      <c r="I385" s="14" t="str">
        <f aca="false">IF(OR(B385="",G385="",G385=0),"",D385/G385*1000)</f>
        <v/>
      </c>
    </row>
    <row r="386" customFormat="false" ht="15" hidden="false" customHeight="true" outlineLevel="0" collapsed="false">
      <c r="A386" s="26"/>
      <c r="D386" s="31"/>
      <c r="F386" s="22"/>
      <c r="G386" s="22"/>
      <c r="H386" s="32" t="str">
        <f aca="false">IF(OR(B386="",F386="",F386=0),"",D386/F386)</f>
        <v/>
      </c>
      <c r="I386" s="14" t="str">
        <f aca="false">IF(OR(B386="",G386="",G386=0),"",D386/G386*1000)</f>
        <v/>
      </c>
    </row>
    <row r="387" customFormat="false" ht="15" hidden="false" customHeight="true" outlineLevel="0" collapsed="false">
      <c r="A387" s="26"/>
      <c r="D387" s="31"/>
      <c r="F387" s="22"/>
      <c r="G387" s="22"/>
      <c r="H387" s="32" t="str">
        <f aca="false">IF(OR(B387="",F387="",F387=0),"",D387/F387)</f>
        <v/>
      </c>
      <c r="I387" s="14" t="str">
        <f aca="false">IF(OR(B387="",G387="",G387=0),"",D387/G387*1000)</f>
        <v/>
      </c>
    </row>
    <row r="388" customFormat="false" ht="15" hidden="false" customHeight="true" outlineLevel="0" collapsed="false">
      <c r="A388" s="26"/>
      <c r="D388" s="31"/>
      <c r="F388" s="22"/>
      <c r="G388" s="22"/>
      <c r="H388" s="32" t="str">
        <f aca="false">IF(OR(B388="",F388="",F388=0),"",D388/F388)</f>
        <v/>
      </c>
      <c r="I388" s="14" t="str">
        <f aca="false">IF(OR(B388="",G388="",G388=0),"",D388/G388*1000)</f>
        <v/>
      </c>
    </row>
    <row r="389" customFormat="false" ht="15" hidden="false" customHeight="true" outlineLevel="0" collapsed="false">
      <c r="A389" s="26"/>
      <c r="D389" s="31"/>
      <c r="F389" s="22"/>
      <c r="G389" s="22"/>
      <c r="H389" s="32" t="str">
        <f aca="false">IF(OR(B389="",F389="",F389=0),"",D389/F389)</f>
        <v/>
      </c>
      <c r="I389" s="14" t="str">
        <f aca="false">IF(OR(B389="",G389="",G389=0),"",D389/G389*1000)</f>
        <v/>
      </c>
    </row>
    <row r="390" customFormat="false" ht="15" hidden="false" customHeight="true" outlineLevel="0" collapsed="false">
      <c r="A390" s="26"/>
      <c r="D390" s="31"/>
      <c r="F390" s="22"/>
      <c r="G390" s="22"/>
      <c r="H390" s="32" t="str">
        <f aca="false">IF(OR(B390="",F390="",F390=0),"",D390/F390)</f>
        <v/>
      </c>
      <c r="I390" s="14" t="str">
        <f aca="false">IF(OR(B390="",G390="",G390=0),"",D390/G390*1000)</f>
        <v/>
      </c>
    </row>
    <row r="391" customFormat="false" ht="15" hidden="false" customHeight="true" outlineLevel="0" collapsed="false">
      <c r="A391" s="26"/>
      <c r="D391" s="31"/>
      <c r="F391" s="22"/>
      <c r="G391" s="22"/>
      <c r="H391" s="32" t="str">
        <f aca="false">IF(OR(B391="",F391="",F391=0),"",D391/F391)</f>
        <v/>
      </c>
      <c r="I391" s="14" t="str">
        <f aca="false">IF(OR(B391="",G391="",G391=0),"",D391/G391*1000)</f>
        <v/>
      </c>
    </row>
    <row r="392" customFormat="false" ht="15" hidden="false" customHeight="true" outlineLevel="0" collapsed="false">
      <c r="A392" s="26"/>
      <c r="D392" s="31"/>
      <c r="F392" s="22"/>
      <c r="G392" s="22"/>
      <c r="H392" s="32" t="str">
        <f aca="false">IF(OR(B392="",F392="",F392=0),"",D392/F392)</f>
        <v/>
      </c>
      <c r="I392" s="14" t="str">
        <f aca="false">IF(OR(B392="",G392="",G392=0),"",D392/G392*1000)</f>
        <v/>
      </c>
    </row>
    <row r="393" customFormat="false" ht="15" hidden="false" customHeight="true" outlineLevel="0" collapsed="false">
      <c r="A393" s="26"/>
      <c r="D393" s="31"/>
      <c r="F393" s="22"/>
      <c r="G393" s="22"/>
      <c r="H393" s="32" t="str">
        <f aca="false">IF(OR(B393="",F393="",F393=0),"",D393/F393)</f>
        <v/>
      </c>
      <c r="I393" s="14" t="str">
        <f aca="false">IF(OR(B393="",G393="",G393=0),"",D393/G393*1000)</f>
        <v/>
      </c>
    </row>
    <row r="394" customFormat="false" ht="15" hidden="false" customHeight="true" outlineLevel="0" collapsed="false">
      <c r="A394" s="26"/>
      <c r="D394" s="31"/>
      <c r="F394" s="22"/>
      <c r="G394" s="22"/>
      <c r="H394" s="32" t="str">
        <f aca="false">IF(OR(B394="",F394="",F394=0),"",D394/F394)</f>
        <v/>
      </c>
      <c r="I394" s="14" t="str">
        <f aca="false">IF(OR(B394="",G394="",G394=0),"",D394/G394*1000)</f>
        <v/>
      </c>
    </row>
    <row r="395" customFormat="false" ht="15" hidden="false" customHeight="true" outlineLevel="0" collapsed="false">
      <c r="A395" s="26"/>
      <c r="D395" s="31"/>
      <c r="F395" s="22"/>
      <c r="G395" s="22"/>
      <c r="H395" s="32" t="str">
        <f aca="false">IF(OR(B395="",F395="",F395=0),"",D395/F395)</f>
        <v/>
      </c>
      <c r="I395" s="14" t="str">
        <f aca="false">IF(OR(B395="",G395="",G395=0),"",D395/G395*1000)</f>
        <v/>
      </c>
    </row>
    <row r="396" customFormat="false" ht="15" hidden="false" customHeight="true" outlineLevel="0" collapsed="false">
      <c r="A396" s="26"/>
      <c r="D396" s="31"/>
      <c r="F396" s="22"/>
      <c r="G396" s="22"/>
      <c r="H396" s="32" t="str">
        <f aca="false">IF(OR(B396="",F396="",F396=0),"",D396/F396)</f>
        <v/>
      </c>
      <c r="I396" s="14" t="str">
        <f aca="false">IF(OR(B396="",G396="",G396=0),"",D396/G396*1000)</f>
        <v/>
      </c>
    </row>
    <row r="397" customFormat="false" ht="15" hidden="false" customHeight="true" outlineLevel="0" collapsed="false">
      <c r="A397" s="26"/>
      <c r="D397" s="31"/>
      <c r="F397" s="22"/>
      <c r="G397" s="22"/>
      <c r="H397" s="32" t="str">
        <f aca="false">IF(OR(B397="",F397="",F397=0),"",D397/F397)</f>
        <v/>
      </c>
      <c r="I397" s="14" t="str">
        <f aca="false">IF(OR(B397="",G397="",G397=0),"",D397/G397*1000)</f>
        <v/>
      </c>
    </row>
    <row r="398" customFormat="false" ht="15" hidden="false" customHeight="true" outlineLevel="0" collapsed="false">
      <c r="A398" s="26"/>
      <c r="D398" s="31"/>
      <c r="F398" s="22"/>
      <c r="G398" s="22"/>
      <c r="H398" s="32" t="str">
        <f aca="false">IF(OR(B398="",F398="",F398=0),"",D398/F398)</f>
        <v/>
      </c>
      <c r="I398" s="14" t="str">
        <f aca="false">IF(OR(B398="",G398="",G398=0),"",D398/G398*1000)</f>
        <v/>
      </c>
    </row>
    <row r="399" customFormat="false" ht="15" hidden="false" customHeight="true" outlineLevel="0" collapsed="false">
      <c r="A399" s="26"/>
      <c r="D399" s="31"/>
      <c r="F399" s="22"/>
      <c r="G399" s="22"/>
      <c r="H399" s="32" t="str">
        <f aca="false">IF(OR(B399="",F399="",F399=0),"",D399/F399)</f>
        <v/>
      </c>
      <c r="I399" s="14" t="str">
        <f aca="false">IF(OR(B399="",G399="",G399=0),"",D399/G399*1000)</f>
        <v/>
      </c>
    </row>
    <row r="400" customFormat="false" ht="15" hidden="false" customHeight="true" outlineLevel="0" collapsed="false">
      <c r="A400" s="26"/>
      <c r="D400" s="31"/>
      <c r="F400" s="22"/>
      <c r="G400" s="22"/>
      <c r="H400" s="32" t="str">
        <f aca="false">IF(OR(B400="",F400="",F400=0),"",D400/F400)</f>
        <v/>
      </c>
      <c r="I400" s="14" t="str">
        <f aca="false">IF(OR(B400="",G400="",G400=0),"",D400/G400*1000)</f>
        <v/>
      </c>
    </row>
    <row r="401" customFormat="false" ht="15" hidden="false" customHeight="true" outlineLevel="0" collapsed="false">
      <c r="A401" s="26"/>
      <c r="D401" s="31"/>
      <c r="F401" s="22"/>
      <c r="G401" s="22"/>
      <c r="H401" s="32" t="str">
        <f aca="false">IF(OR(B401="",F401="",F401=0),"",D401/F401)</f>
        <v/>
      </c>
      <c r="I401" s="14" t="str">
        <f aca="false">IF(OR(B401="",G401="",G401=0),"",D401/G401*1000)</f>
        <v/>
      </c>
    </row>
    <row r="402" customFormat="false" ht="15" hidden="false" customHeight="true" outlineLevel="0" collapsed="false">
      <c r="A402" s="26"/>
      <c r="D402" s="31"/>
      <c r="F402" s="22"/>
      <c r="G402" s="22"/>
      <c r="H402" s="32" t="str">
        <f aca="false">IF(OR(B402="",F402="",F402=0),"",D402/F402)</f>
        <v/>
      </c>
      <c r="I402" s="14" t="str">
        <f aca="false">IF(OR(B402="",G402="",G402=0),"",D402/G402*1000)</f>
        <v/>
      </c>
    </row>
    <row r="403" customFormat="false" ht="15" hidden="false" customHeight="true" outlineLevel="0" collapsed="false">
      <c r="A403" s="26"/>
      <c r="D403" s="31"/>
      <c r="F403" s="22"/>
      <c r="G403" s="22"/>
      <c r="H403" s="32" t="str">
        <f aca="false">IF(OR(B403="",F403="",F403=0),"",D403/F403)</f>
        <v/>
      </c>
      <c r="I403" s="14" t="str">
        <f aca="false">IF(OR(B403="",G403="",G403=0),"",D403/G403*1000)</f>
        <v/>
      </c>
    </row>
    <row r="404" customFormat="false" ht="15" hidden="false" customHeight="true" outlineLevel="0" collapsed="false">
      <c r="A404" s="26"/>
      <c r="D404" s="31"/>
      <c r="F404" s="22"/>
      <c r="G404" s="22"/>
      <c r="H404" s="32" t="str">
        <f aca="false">IF(OR(B404="",F404="",F404=0),"",D404/F404)</f>
        <v/>
      </c>
      <c r="I404" s="14" t="str">
        <f aca="false">IF(OR(B404="",G404="",G404=0),"",D404/G404*1000)</f>
        <v/>
      </c>
    </row>
    <row r="405" customFormat="false" ht="15" hidden="false" customHeight="true" outlineLevel="0" collapsed="false">
      <c r="A405" s="26"/>
      <c r="D405" s="31"/>
      <c r="F405" s="22"/>
      <c r="G405" s="22"/>
      <c r="H405" s="32" t="str">
        <f aca="false">IF(OR(B405="",F405="",F405=0),"",D405/F405)</f>
        <v/>
      </c>
      <c r="I405" s="14" t="str">
        <f aca="false">IF(OR(B405="",G405="",G405=0),"",D405/G405*1000)</f>
        <v/>
      </c>
    </row>
    <row r="406" customFormat="false" ht="15" hidden="false" customHeight="true" outlineLevel="0" collapsed="false">
      <c r="A406" s="26"/>
      <c r="D406" s="31"/>
      <c r="F406" s="22"/>
      <c r="G406" s="22"/>
      <c r="H406" s="32" t="str">
        <f aca="false">IF(OR(B406="",F406="",F406=0),"",D406/F406)</f>
        <v/>
      </c>
      <c r="I406" s="14" t="str">
        <f aca="false">IF(OR(B406="",G406="",G406=0),"",D406/G406*1000)</f>
        <v/>
      </c>
    </row>
    <row r="407" customFormat="false" ht="15" hidden="false" customHeight="true" outlineLevel="0" collapsed="false">
      <c r="A407" s="26"/>
      <c r="D407" s="31"/>
      <c r="F407" s="22"/>
      <c r="G407" s="22"/>
      <c r="H407" s="32" t="str">
        <f aca="false">IF(OR(B407="",F407="",F407=0),"",D407/F407)</f>
        <v/>
      </c>
      <c r="I407" s="14" t="str">
        <f aca="false">IF(OR(B407="",G407="",G407=0),"",D407/G407*1000)</f>
        <v/>
      </c>
    </row>
    <row r="408" customFormat="false" ht="15" hidden="false" customHeight="true" outlineLevel="0" collapsed="false">
      <c r="A408" s="26"/>
      <c r="D408" s="31"/>
      <c r="F408" s="22"/>
      <c r="G408" s="22"/>
      <c r="H408" s="32" t="str">
        <f aca="false">IF(OR(B408="",F408="",F408=0),"",D408/F408)</f>
        <v/>
      </c>
      <c r="I408" s="14" t="str">
        <f aca="false">IF(OR(B408="",G408="",G408=0),"",D408/G408*1000)</f>
        <v/>
      </c>
    </row>
    <row r="409" customFormat="false" ht="15" hidden="false" customHeight="true" outlineLevel="0" collapsed="false">
      <c r="A409" s="26"/>
      <c r="D409" s="31"/>
      <c r="F409" s="22"/>
      <c r="G409" s="22"/>
      <c r="H409" s="32" t="str">
        <f aca="false">IF(OR(B409="",F409="",F409=0),"",D409/F409)</f>
        <v/>
      </c>
      <c r="I409" s="14" t="str">
        <f aca="false">IF(OR(B409="",G409="",G409=0),"",D409/G409*1000)</f>
        <v/>
      </c>
    </row>
    <row r="410" customFormat="false" ht="15" hidden="false" customHeight="true" outlineLevel="0" collapsed="false">
      <c r="A410" s="26"/>
      <c r="D410" s="31"/>
      <c r="F410" s="22"/>
      <c r="G410" s="22"/>
      <c r="H410" s="32" t="str">
        <f aca="false">IF(OR(B410="",F410="",F410=0),"",D410/F410)</f>
        <v/>
      </c>
      <c r="I410" s="14" t="str">
        <f aca="false">IF(OR(B410="",G410="",G410=0),"",D410/G410*1000)</f>
        <v/>
      </c>
    </row>
    <row r="411" customFormat="false" ht="15" hidden="false" customHeight="true" outlineLevel="0" collapsed="false">
      <c r="A411" s="26"/>
      <c r="D411" s="31"/>
      <c r="F411" s="22"/>
      <c r="G411" s="22"/>
      <c r="H411" s="32" t="str">
        <f aca="false">IF(OR(B411="",F411="",F411=0),"",D411/F411)</f>
        <v/>
      </c>
      <c r="I411" s="14" t="str">
        <f aca="false">IF(OR(B411="",G411="",G411=0),"",D411/G411*1000)</f>
        <v/>
      </c>
    </row>
    <row r="412" customFormat="false" ht="15" hidden="false" customHeight="true" outlineLevel="0" collapsed="false">
      <c r="A412" s="26"/>
      <c r="D412" s="31"/>
      <c r="F412" s="22"/>
      <c r="G412" s="22"/>
      <c r="H412" s="32" t="str">
        <f aca="false">IF(OR(B412="",F412="",F412=0),"",D412/F412)</f>
        <v/>
      </c>
      <c r="I412" s="14" t="str">
        <f aca="false">IF(OR(B412="",G412="",G412=0),"",D412/G412*1000)</f>
        <v/>
      </c>
    </row>
    <row r="413" customFormat="false" ht="15" hidden="false" customHeight="true" outlineLevel="0" collapsed="false">
      <c r="A413" s="26"/>
      <c r="D413" s="31"/>
      <c r="F413" s="22"/>
      <c r="G413" s="22"/>
      <c r="H413" s="32" t="str">
        <f aca="false">IF(OR(B413="",F413="",F413=0),"",D413/F413)</f>
        <v/>
      </c>
      <c r="I413" s="14" t="str">
        <f aca="false">IF(OR(B413="",G413="",G413=0),"",D413/G413*1000)</f>
        <v/>
      </c>
    </row>
    <row r="414" customFormat="false" ht="15" hidden="false" customHeight="true" outlineLevel="0" collapsed="false">
      <c r="A414" s="26"/>
      <c r="D414" s="31"/>
      <c r="F414" s="22"/>
      <c r="G414" s="22"/>
      <c r="H414" s="32" t="str">
        <f aca="false">IF(OR(B414="",F414="",F414=0),"",D414/F414)</f>
        <v/>
      </c>
      <c r="I414" s="14" t="str">
        <f aca="false">IF(OR(B414="",G414="",G414=0),"",D414/G414*1000)</f>
        <v/>
      </c>
    </row>
    <row r="415" customFormat="false" ht="15" hidden="false" customHeight="true" outlineLevel="0" collapsed="false">
      <c r="A415" s="26"/>
      <c r="D415" s="31"/>
      <c r="F415" s="22"/>
      <c r="G415" s="22"/>
      <c r="H415" s="32" t="str">
        <f aca="false">IF(OR(B415="",F415="",F415=0),"",D415/F415)</f>
        <v/>
      </c>
      <c r="I415" s="14" t="str">
        <f aca="false">IF(OR(B415="",G415="",G415=0),"",D415/G415*1000)</f>
        <v/>
      </c>
    </row>
    <row r="416" customFormat="false" ht="15" hidden="false" customHeight="true" outlineLevel="0" collapsed="false">
      <c r="A416" s="26"/>
      <c r="D416" s="31"/>
      <c r="F416" s="22"/>
      <c r="G416" s="22"/>
      <c r="H416" s="32" t="str">
        <f aca="false">IF(OR(B416="",F416="",F416=0),"",D416/F416)</f>
        <v/>
      </c>
      <c r="I416" s="14" t="str">
        <f aca="false">IF(OR(B416="",G416="",G416=0),"",D416/G416*1000)</f>
        <v/>
      </c>
    </row>
    <row r="417" customFormat="false" ht="15" hidden="false" customHeight="true" outlineLevel="0" collapsed="false">
      <c r="A417" s="26"/>
      <c r="D417" s="31"/>
      <c r="F417" s="22"/>
      <c r="G417" s="22"/>
      <c r="H417" s="32" t="str">
        <f aca="false">IF(OR(B417="",F417="",F417=0),"",D417/F417)</f>
        <v/>
      </c>
      <c r="I417" s="14" t="str">
        <f aca="false">IF(OR(B417="",G417="",G417=0),"",D417/G417*1000)</f>
        <v/>
      </c>
    </row>
    <row r="418" customFormat="false" ht="15" hidden="false" customHeight="true" outlineLevel="0" collapsed="false">
      <c r="A418" s="26"/>
      <c r="D418" s="31"/>
      <c r="F418" s="22"/>
      <c r="G418" s="22"/>
      <c r="H418" s="32" t="str">
        <f aca="false">IF(OR(B418="",F418="",F418=0),"",D418/F418)</f>
        <v/>
      </c>
      <c r="I418" s="14" t="str">
        <f aca="false">IF(OR(B418="",G418="",G418=0),"",D418/G418*1000)</f>
        <v/>
      </c>
    </row>
    <row r="419" customFormat="false" ht="15" hidden="false" customHeight="true" outlineLevel="0" collapsed="false">
      <c r="A419" s="26"/>
      <c r="D419" s="31"/>
      <c r="F419" s="22"/>
      <c r="G419" s="22"/>
      <c r="H419" s="32" t="str">
        <f aca="false">IF(OR(B419="",F419="",F419=0),"",D419/F419)</f>
        <v/>
      </c>
      <c r="I419" s="14" t="str">
        <f aca="false">IF(OR(B419="",G419="",G419=0),"",D419/G419*1000)</f>
        <v/>
      </c>
    </row>
    <row r="420" customFormat="false" ht="15" hidden="false" customHeight="true" outlineLevel="0" collapsed="false">
      <c r="A420" s="26"/>
      <c r="D420" s="31"/>
      <c r="F420" s="22"/>
      <c r="G420" s="22"/>
      <c r="H420" s="32" t="str">
        <f aca="false">IF(OR(B420="",F420="",F420=0),"",D420/F420)</f>
        <v/>
      </c>
      <c r="I420" s="14" t="str">
        <f aca="false">IF(OR(B420="",G420="",G420=0),"",D420/G420*1000)</f>
        <v/>
      </c>
    </row>
    <row r="421" customFormat="false" ht="15" hidden="false" customHeight="true" outlineLevel="0" collapsed="false">
      <c r="A421" s="26"/>
      <c r="D421" s="31"/>
      <c r="F421" s="22"/>
      <c r="G421" s="22"/>
      <c r="H421" s="32" t="str">
        <f aca="false">IF(OR(B421="",F421="",F421=0),"",D421/F421)</f>
        <v/>
      </c>
      <c r="I421" s="14" t="str">
        <f aca="false">IF(OR(B421="",G421="",G421=0),"",D421/G421*1000)</f>
        <v/>
      </c>
    </row>
    <row r="422" customFormat="false" ht="15" hidden="false" customHeight="true" outlineLevel="0" collapsed="false">
      <c r="A422" s="26"/>
      <c r="D422" s="31"/>
      <c r="F422" s="22"/>
      <c r="G422" s="22"/>
      <c r="H422" s="32" t="str">
        <f aca="false">IF(OR(B422="",F422="",F422=0),"",D422/F422)</f>
        <v/>
      </c>
      <c r="I422" s="14" t="str">
        <f aca="false">IF(OR(B422="",G422="",G422=0),"",D422/G422*1000)</f>
        <v/>
      </c>
    </row>
    <row r="423" customFormat="false" ht="15" hidden="false" customHeight="true" outlineLevel="0" collapsed="false">
      <c r="A423" s="26"/>
      <c r="D423" s="31"/>
      <c r="F423" s="22"/>
      <c r="G423" s="22"/>
      <c r="H423" s="32" t="str">
        <f aca="false">IF(OR(B423="",F423="",F423=0),"",D423/F423)</f>
        <v/>
      </c>
      <c r="I423" s="14" t="str">
        <f aca="false">IF(OR(B423="",G423="",G423=0),"",D423/G423*1000)</f>
        <v/>
      </c>
    </row>
    <row r="424" customFormat="false" ht="15" hidden="false" customHeight="true" outlineLevel="0" collapsed="false">
      <c r="A424" s="26"/>
      <c r="D424" s="31"/>
      <c r="F424" s="22"/>
      <c r="G424" s="22"/>
      <c r="H424" s="32" t="str">
        <f aca="false">IF(OR(B424="",F424="",F424=0),"",D424/F424)</f>
        <v/>
      </c>
      <c r="I424" s="14" t="str">
        <f aca="false">IF(OR(B424="",G424="",G424=0),"",D424/G424*1000)</f>
        <v/>
      </c>
    </row>
    <row r="425" customFormat="false" ht="15" hidden="false" customHeight="true" outlineLevel="0" collapsed="false">
      <c r="A425" s="26"/>
      <c r="D425" s="31"/>
      <c r="F425" s="22"/>
      <c r="G425" s="22"/>
      <c r="H425" s="32" t="str">
        <f aca="false">IF(OR(B425="",F425="",F425=0),"",D425/F425)</f>
        <v/>
      </c>
      <c r="I425" s="14" t="str">
        <f aca="false">IF(OR(B425="",G425="",G425=0),"",D425/G425*1000)</f>
        <v/>
      </c>
    </row>
    <row r="426" customFormat="false" ht="15" hidden="false" customHeight="true" outlineLevel="0" collapsed="false">
      <c r="A426" s="26"/>
      <c r="D426" s="31"/>
      <c r="F426" s="22"/>
      <c r="G426" s="22"/>
      <c r="H426" s="32" t="str">
        <f aca="false">IF(OR(B426="",F426="",F426=0),"",D426/F426)</f>
        <v/>
      </c>
      <c r="I426" s="14" t="str">
        <f aca="false">IF(OR(B426="",G426="",G426=0),"",D426/G426*1000)</f>
        <v/>
      </c>
    </row>
    <row r="427" customFormat="false" ht="15" hidden="false" customHeight="true" outlineLevel="0" collapsed="false">
      <c r="A427" s="26"/>
      <c r="D427" s="31"/>
      <c r="F427" s="22"/>
      <c r="G427" s="22"/>
      <c r="H427" s="32" t="str">
        <f aca="false">IF(OR(B427="",F427="",F427=0),"",D427/F427)</f>
        <v/>
      </c>
      <c r="I427" s="14" t="str">
        <f aca="false">IF(OR(B427="",G427="",G427=0),"",D427/G427*1000)</f>
        <v/>
      </c>
    </row>
    <row r="428" customFormat="false" ht="15" hidden="false" customHeight="true" outlineLevel="0" collapsed="false">
      <c r="A428" s="26"/>
      <c r="D428" s="31"/>
      <c r="F428" s="22"/>
      <c r="G428" s="22"/>
      <c r="H428" s="32" t="str">
        <f aca="false">IF(OR(B428="",F428="",F428=0),"",D428/F428)</f>
        <v/>
      </c>
      <c r="I428" s="14" t="str">
        <f aca="false">IF(OR(B428="",G428="",G428=0),"",D428/G428*1000)</f>
        <v/>
      </c>
    </row>
    <row r="429" customFormat="false" ht="15" hidden="false" customHeight="true" outlineLevel="0" collapsed="false">
      <c r="A429" s="26"/>
      <c r="D429" s="31"/>
      <c r="F429" s="22"/>
      <c r="G429" s="22"/>
      <c r="H429" s="32" t="str">
        <f aca="false">IF(OR(B429="",F429="",F429=0),"",D429/F429)</f>
        <v/>
      </c>
      <c r="I429" s="14" t="str">
        <f aca="false">IF(OR(B429="",G429="",G429=0),"",D429/G429*1000)</f>
        <v/>
      </c>
    </row>
    <row r="430" customFormat="false" ht="15" hidden="false" customHeight="true" outlineLevel="0" collapsed="false">
      <c r="A430" s="26"/>
      <c r="D430" s="31"/>
      <c r="F430" s="22"/>
      <c r="G430" s="22"/>
      <c r="H430" s="32" t="str">
        <f aca="false">IF(OR(B430="",F430="",F430=0),"",D430/F430)</f>
        <v/>
      </c>
      <c r="I430" s="14" t="str">
        <f aca="false">IF(OR(B430="",G430="",G430=0),"",D430/G430*1000)</f>
        <v/>
      </c>
    </row>
    <row r="431" customFormat="false" ht="15" hidden="false" customHeight="true" outlineLevel="0" collapsed="false">
      <c r="A431" s="26"/>
      <c r="D431" s="31"/>
      <c r="F431" s="22"/>
      <c r="G431" s="22"/>
      <c r="H431" s="32" t="str">
        <f aca="false">IF(OR(B431="",F431="",F431=0),"",D431/F431)</f>
        <v/>
      </c>
      <c r="I431" s="14" t="str">
        <f aca="false">IF(OR(B431="",G431="",G431=0),"",D431/G431*1000)</f>
        <v/>
      </c>
    </row>
    <row r="432" customFormat="false" ht="15" hidden="false" customHeight="true" outlineLevel="0" collapsed="false">
      <c r="A432" s="26"/>
      <c r="D432" s="31"/>
      <c r="F432" s="22"/>
      <c r="G432" s="22"/>
      <c r="H432" s="32" t="str">
        <f aca="false">IF(OR(B432="",F432="",F432=0),"",D432/F432)</f>
        <v/>
      </c>
      <c r="I432" s="14" t="str">
        <f aca="false">IF(OR(B432="",G432="",G432=0),"",D432/G432*1000)</f>
        <v/>
      </c>
    </row>
    <row r="433" customFormat="false" ht="15" hidden="false" customHeight="true" outlineLevel="0" collapsed="false">
      <c r="A433" s="26"/>
      <c r="D433" s="31"/>
      <c r="F433" s="22"/>
      <c r="G433" s="22"/>
      <c r="H433" s="32" t="str">
        <f aca="false">IF(OR(B433="",F433="",F433=0),"",D433/F433)</f>
        <v/>
      </c>
      <c r="I433" s="14" t="str">
        <f aca="false">IF(OR(B433="",G433="",G433=0),"",D433/G433*1000)</f>
        <v/>
      </c>
    </row>
    <row r="434" customFormat="false" ht="15" hidden="false" customHeight="true" outlineLevel="0" collapsed="false">
      <c r="A434" s="26"/>
      <c r="D434" s="31"/>
      <c r="F434" s="22"/>
      <c r="G434" s="22"/>
      <c r="H434" s="32" t="str">
        <f aca="false">IF(OR(B434="",F434="",F434=0),"",D434/F434)</f>
        <v/>
      </c>
      <c r="I434" s="14" t="str">
        <f aca="false">IF(OR(B434="",G434="",G434=0),"",D434/G434*1000)</f>
        <v/>
      </c>
    </row>
    <row r="435" customFormat="false" ht="15" hidden="false" customHeight="true" outlineLevel="0" collapsed="false">
      <c r="A435" s="26"/>
      <c r="D435" s="31"/>
      <c r="F435" s="22"/>
      <c r="G435" s="22"/>
      <c r="H435" s="32" t="str">
        <f aca="false">IF(OR(B435="",F435="",F435=0),"",D435/F435)</f>
        <v/>
      </c>
      <c r="I435" s="14" t="str">
        <f aca="false">IF(OR(B435="",G435="",G435=0),"",D435/G435*1000)</f>
        <v/>
      </c>
    </row>
    <row r="436" customFormat="false" ht="15" hidden="false" customHeight="true" outlineLevel="0" collapsed="false">
      <c r="A436" s="26"/>
      <c r="D436" s="31"/>
      <c r="F436" s="22"/>
      <c r="G436" s="22"/>
      <c r="H436" s="32" t="str">
        <f aca="false">IF(OR(B436="",F436="",F436=0),"",D436/F436)</f>
        <v/>
      </c>
      <c r="I436" s="14" t="str">
        <f aca="false">IF(OR(B436="",G436="",G436=0),"",D436/G436*1000)</f>
        <v/>
      </c>
    </row>
    <row r="437" customFormat="false" ht="15" hidden="false" customHeight="true" outlineLevel="0" collapsed="false">
      <c r="A437" s="26"/>
      <c r="D437" s="31"/>
      <c r="F437" s="22"/>
      <c r="G437" s="22"/>
      <c r="H437" s="32" t="str">
        <f aca="false">IF(OR(B437="",F437="",F437=0),"",D437/F437)</f>
        <v/>
      </c>
      <c r="I437" s="14" t="str">
        <f aca="false">IF(OR(B437="",G437="",G437=0),"",D437/G437*1000)</f>
        <v/>
      </c>
    </row>
    <row r="438" customFormat="false" ht="15" hidden="false" customHeight="true" outlineLevel="0" collapsed="false">
      <c r="A438" s="26"/>
      <c r="D438" s="31"/>
      <c r="F438" s="22"/>
      <c r="G438" s="22"/>
      <c r="H438" s="32" t="str">
        <f aca="false">IF(OR(B438="",F438="",F438=0),"",D438/F438)</f>
        <v/>
      </c>
      <c r="I438" s="14" t="str">
        <f aca="false">IF(OR(B438="",G438="",G438=0),"",D438/G438*1000)</f>
        <v/>
      </c>
    </row>
    <row r="439" customFormat="false" ht="15" hidden="false" customHeight="true" outlineLevel="0" collapsed="false">
      <c r="A439" s="26"/>
      <c r="D439" s="31"/>
      <c r="F439" s="22"/>
      <c r="G439" s="22"/>
      <c r="H439" s="32" t="str">
        <f aca="false">IF(OR(B439="",F439="",F439=0),"",D439/F439)</f>
        <v/>
      </c>
      <c r="I439" s="14" t="str">
        <f aca="false">IF(OR(B439="",G439="",G439=0),"",D439/G439*1000)</f>
        <v/>
      </c>
    </row>
    <row r="440" customFormat="false" ht="15" hidden="false" customHeight="true" outlineLevel="0" collapsed="false">
      <c r="A440" s="26"/>
      <c r="D440" s="31"/>
      <c r="F440" s="22"/>
      <c r="G440" s="22"/>
      <c r="H440" s="32" t="str">
        <f aca="false">IF(OR(B440="",F440="",F440=0),"",D440/F440)</f>
        <v/>
      </c>
      <c r="I440" s="14" t="str">
        <f aca="false">IF(OR(B440="",G440="",G440=0),"",D440/G440*1000)</f>
        <v/>
      </c>
    </row>
    <row r="441" customFormat="false" ht="15" hidden="false" customHeight="true" outlineLevel="0" collapsed="false">
      <c r="A441" s="26"/>
      <c r="D441" s="31"/>
      <c r="F441" s="22"/>
      <c r="G441" s="22"/>
      <c r="H441" s="32" t="str">
        <f aca="false">IF(OR(B441="",F441="",F441=0),"",D441/F441)</f>
        <v/>
      </c>
      <c r="I441" s="14" t="str">
        <f aca="false">IF(OR(B441="",G441="",G441=0),"",D441/G441*1000)</f>
        <v/>
      </c>
    </row>
    <row r="442" customFormat="false" ht="15" hidden="false" customHeight="true" outlineLevel="0" collapsed="false">
      <c r="A442" s="26"/>
      <c r="D442" s="31"/>
      <c r="F442" s="22"/>
      <c r="G442" s="22"/>
      <c r="H442" s="32" t="str">
        <f aca="false">IF(OR(B442="",F442="",F442=0),"",D442/F442)</f>
        <v/>
      </c>
      <c r="I442" s="14" t="str">
        <f aca="false">IF(OR(B442="",G442="",G442=0),"",D442/G442*1000)</f>
        <v/>
      </c>
    </row>
    <row r="443" customFormat="false" ht="15" hidden="false" customHeight="true" outlineLevel="0" collapsed="false">
      <c r="A443" s="26"/>
      <c r="D443" s="31"/>
      <c r="F443" s="22"/>
      <c r="G443" s="22"/>
      <c r="H443" s="32" t="str">
        <f aca="false">IF(OR(B443="",F443="",F443=0),"",D443/F443)</f>
        <v/>
      </c>
      <c r="I443" s="14" t="str">
        <f aca="false">IF(OR(B443="",G443="",G443=0),"",D443/G443*1000)</f>
        <v/>
      </c>
    </row>
    <row r="444" customFormat="false" ht="15" hidden="false" customHeight="true" outlineLevel="0" collapsed="false">
      <c r="A444" s="26"/>
      <c r="D444" s="31"/>
      <c r="F444" s="22"/>
      <c r="G444" s="22"/>
      <c r="H444" s="32" t="str">
        <f aca="false">IF(OR(B444="",F444="",F444=0),"",D444/F444)</f>
        <v/>
      </c>
      <c r="I444" s="14" t="str">
        <f aca="false">IF(OR(B444="",G444="",G444=0),"",D444/G444*1000)</f>
        <v/>
      </c>
    </row>
    <row r="445" customFormat="false" ht="15" hidden="false" customHeight="true" outlineLevel="0" collapsed="false">
      <c r="A445" s="26"/>
      <c r="D445" s="31"/>
      <c r="F445" s="22"/>
      <c r="G445" s="22"/>
      <c r="H445" s="32" t="str">
        <f aca="false">IF(OR(B445="",F445="",F445=0),"",D445/F445)</f>
        <v/>
      </c>
      <c r="I445" s="14" t="str">
        <f aca="false">IF(OR(B445="",G445="",G445=0),"",D445/G445*1000)</f>
        <v/>
      </c>
    </row>
    <row r="446" customFormat="false" ht="15" hidden="false" customHeight="true" outlineLevel="0" collapsed="false">
      <c r="A446" s="26"/>
      <c r="D446" s="31"/>
      <c r="F446" s="22"/>
      <c r="G446" s="22"/>
      <c r="H446" s="32" t="str">
        <f aca="false">IF(OR(B446="",F446="",F446=0),"",D446/F446)</f>
        <v/>
      </c>
      <c r="I446" s="14" t="str">
        <f aca="false">IF(OR(B446="",G446="",G446=0),"",D446/G446*1000)</f>
        <v/>
      </c>
    </row>
    <row r="447" customFormat="false" ht="15" hidden="false" customHeight="true" outlineLevel="0" collapsed="false">
      <c r="A447" s="26"/>
      <c r="D447" s="31"/>
      <c r="F447" s="22"/>
      <c r="G447" s="22"/>
      <c r="H447" s="32" t="str">
        <f aca="false">IF(OR(B447="",F447="",F447=0),"",D447/F447)</f>
        <v/>
      </c>
      <c r="I447" s="14" t="str">
        <f aca="false">IF(OR(B447="",G447="",G447=0),"",D447/G447*1000)</f>
        <v/>
      </c>
    </row>
    <row r="448" customFormat="false" ht="15" hidden="false" customHeight="true" outlineLevel="0" collapsed="false">
      <c r="A448" s="26"/>
      <c r="D448" s="31"/>
      <c r="F448" s="22"/>
      <c r="G448" s="22"/>
      <c r="H448" s="32" t="str">
        <f aca="false">IF(OR(B448="",F448="",F448=0),"",D448/F448)</f>
        <v/>
      </c>
      <c r="I448" s="14" t="str">
        <f aca="false">IF(OR(B448="",G448="",G448=0),"",D448/G448*1000)</f>
        <v/>
      </c>
    </row>
    <row r="449" customFormat="false" ht="15" hidden="false" customHeight="true" outlineLevel="0" collapsed="false">
      <c r="A449" s="26"/>
      <c r="D449" s="31"/>
      <c r="F449" s="22"/>
      <c r="G449" s="22"/>
      <c r="H449" s="32" t="str">
        <f aca="false">IF(OR(B449="",F449="",F449=0),"",D449/F449)</f>
        <v/>
      </c>
      <c r="I449" s="14" t="str">
        <f aca="false">IF(OR(B449="",G449="",G449=0),"",D449/G449*1000)</f>
        <v/>
      </c>
    </row>
    <row r="450" customFormat="false" ht="15" hidden="false" customHeight="true" outlineLevel="0" collapsed="false">
      <c r="A450" s="26"/>
      <c r="D450" s="31"/>
      <c r="F450" s="22"/>
      <c r="G450" s="22"/>
      <c r="H450" s="32" t="str">
        <f aca="false">IF(OR(B450="",F450="",F450=0),"",D450/F450)</f>
        <v/>
      </c>
      <c r="I450" s="14" t="str">
        <f aca="false">IF(OR(B450="",G450="",G450=0),"",D450/G450*1000)</f>
        <v/>
      </c>
    </row>
    <row r="451" customFormat="false" ht="15" hidden="false" customHeight="true" outlineLevel="0" collapsed="false">
      <c r="A451" s="26"/>
      <c r="D451" s="31"/>
      <c r="F451" s="22"/>
      <c r="G451" s="22"/>
      <c r="H451" s="32" t="str">
        <f aca="false">IF(OR(B451="",F451="",F451=0),"",D451/F451)</f>
        <v/>
      </c>
      <c r="I451" s="14" t="str">
        <f aca="false">IF(OR(B451="",G451="",G451=0),"",D451/G451*1000)</f>
        <v/>
      </c>
    </row>
    <row r="452" customFormat="false" ht="15" hidden="false" customHeight="true" outlineLevel="0" collapsed="false">
      <c r="A452" s="26"/>
      <c r="D452" s="31"/>
      <c r="F452" s="22"/>
      <c r="G452" s="22"/>
      <c r="H452" s="32" t="str">
        <f aca="false">IF(OR(B452="",F452="",F452=0),"",D452/F452)</f>
        <v/>
      </c>
      <c r="I452" s="14" t="str">
        <f aca="false">IF(OR(B452="",G452="",G452=0),"",D452/G452*1000)</f>
        <v/>
      </c>
    </row>
    <row r="453" customFormat="false" ht="15" hidden="false" customHeight="true" outlineLevel="0" collapsed="false">
      <c r="A453" s="26"/>
      <c r="D453" s="31"/>
      <c r="F453" s="22"/>
      <c r="G453" s="22"/>
      <c r="H453" s="32" t="str">
        <f aca="false">IF(OR(B453="",F453="",F453=0),"",D453/F453)</f>
        <v/>
      </c>
      <c r="I453" s="14" t="str">
        <f aca="false">IF(OR(B453="",G453="",G453=0),"",D453/G453*1000)</f>
        <v/>
      </c>
    </row>
    <row r="454" customFormat="false" ht="15" hidden="false" customHeight="true" outlineLevel="0" collapsed="false">
      <c r="A454" s="26"/>
      <c r="D454" s="31"/>
      <c r="F454" s="22"/>
      <c r="G454" s="22"/>
      <c r="H454" s="32" t="str">
        <f aca="false">IF(OR(B454="",F454="",F454=0),"",D454/F454)</f>
        <v/>
      </c>
      <c r="I454" s="14" t="str">
        <f aca="false">IF(OR(B454="",G454="",G454=0),"",D454/G454*1000)</f>
        <v/>
      </c>
    </row>
    <row r="455" customFormat="false" ht="15" hidden="false" customHeight="true" outlineLevel="0" collapsed="false">
      <c r="A455" s="26"/>
      <c r="D455" s="31"/>
      <c r="F455" s="22"/>
      <c r="G455" s="22"/>
      <c r="H455" s="32" t="str">
        <f aca="false">IF(OR(B455="",F455="",F455=0),"",D455/F455)</f>
        <v/>
      </c>
      <c r="I455" s="14" t="str">
        <f aca="false">IF(OR(B455="",G455="",G455=0),"",D455/G455*1000)</f>
        <v/>
      </c>
    </row>
    <row r="456" customFormat="false" ht="15" hidden="false" customHeight="true" outlineLevel="0" collapsed="false">
      <c r="A456" s="26"/>
      <c r="D456" s="31"/>
      <c r="F456" s="22"/>
      <c r="G456" s="22"/>
      <c r="H456" s="32" t="str">
        <f aca="false">IF(OR(B456="",F456="",F456=0),"",D456/F456)</f>
        <v/>
      </c>
      <c r="I456" s="14" t="str">
        <f aca="false">IF(OR(B456="",G456="",G456=0),"",D456/G456*1000)</f>
        <v/>
      </c>
    </row>
    <row r="457" customFormat="false" ht="15" hidden="false" customHeight="true" outlineLevel="0" collapsed="false">
      <c r="A457" s="26"/>
      <c r="D457" s="31"/>
      <c r="F457" s="22"/>
      <c r="G457" s="22"/>
      <c r="H457" s="32" t="str">
        <f aca="false">IF(OR(B457="",F457="",F457=0),"",D457/F457)</f>
        <v/>
      </c>
      <c r="I457" s="14" t="str">
        <f aca="false">IF(OR(B457="",G457="",G457=0),"",D457/G457*1000)</f>
        <v/>
      </c>
    </row>
    <row r="458" customFormat="false" ht="15" hidden="false" customHeight="true" outlineLevel="0" collapsed="false">
      <c r="A458" s="26"/>
      <c r="D458" s="31"/>
      <c r="F458" s="22"/>
      <c r="G458" s="22"/>
      <c r="H458" s="32" t="str">
        <f aca="false">IF(OR(B458="",F458="",F458=0),"",D458/F458)</f>
        <v/>
      </c>
      <c r="I458" s="14" t="str">
        <f aca="false">IF(OR(B458="",G458="",G458=0),"",D458/G458*1000)</f>
        <v/>
      </c>
    </row>
    <row r="459" customFormat="false" ht="15" hidden="false" customHeight="true" outlineLevel="0" collapsed="false">
      <c r="A459" s="26"/>
      <c r="D459" s="31"/>
      <c r="F459" s="22"/>
      <c r="G459" s="22"/>
      <c r="H459" s="32" t="str">
        <f aca="false">IF(OR(B459="",F459="",F459=0),"",D459/F459)</f>
        <v/>
      </c>
      <c r="I459" s="14" t="str">
        <f aca="false">IF(OR(B459="",G459="",G459=0),"",D459/G459*1000)</f>
        <v/>
      </c>
    </row>
    <row r="460" customFormat="false" ht="15" hidden="false" customHeight="true" outlineLevel="0" collapsed="false">
      <c r="A460" s="26"/>
      <c r="D460" s="31"/>
      <c r="F460" s="22"/>
      <c r="G460" s="22"/>
      <c r="H460" s="32" t="str">
        <f aca="false">IF(OR(B460="",F460="",F460=0),"",D460/F460)</f>
        <v/>
      </c>
      <c r="I460" s="14" t="str">
        <f aca="false">IF(OR(B460="",G460="",G460=0),"",D460/G460*1000)</f>
        <v/>
      </c>
    </row>
    <row r="461" customFormat="false" ht="15" hidden="false" customHeight="true" outlineLevel="0" collapsed="false">
      <c r="A461" s="26"/>
      <c r="D461" s="31"/>
      <c r="F461" s="22"/>
      <c r="G461" s="22"/>
      <c r="H461" s="32" t="str">
        <f aca="false">IF(OR(B461="",F461="",F461=0),"",D461/F461)</f>
        <v/>
      </c>
      <c r="I461" s="14" t="str">
        <f aca="false">IF(OR(B461="",G461="",G461=0),"",D461/G461*1000)</f>
        <v/>
      </c>
    </row>
    <row r="462" customFormat="false" ht="15" hidden="false" customHeight="true" outlineLevel="0" collapsed="false">
      <c r="A462" s="26"/>
      <c r="D462" s="31"/>
      <c r="F462" s="22"/>
      <c r="G462" s="22"/>
      <c r="H462" s="32" t="str">
        <f aca="false">IF(OR(B462="",F462="",F462=0),"",D462/F462)</f>
        <v/>
      </c>
      <c r="I462" s="14" t="str">
        <f aca="false">IF(OR(B462="",G462="",G462=0),"",D462/G462*1000)</f>
        <v/>
      </c>
    </row>
    <row r="463" customFormat="false" ht="15" hidden="false" customHeight="true" outlineLevel="0" collapsed="false">
      <c r="A463" s="26"/>
      <c r="D463" s="31"/>
      <c r="F463" s="22"/>
      <c r="G463" s="22"/>
      <c r="H463" s="32" t="str">
        <f aca="false">IF(OR(B463="",F463="",F463=0),"",D463/F463)</f>
        <v/>
      </c>
      <c r="I463" s="14" t="str">
        <f aca="false">IF(OR(B463="",G463="",G463=0),"",D463/G463*1000)</f>
        <v/>
      </c>
    </row>
    <row r="464" customFormat="false" ht="15" hidden="false" customHeight="true" outlineLevel="0" collapsed="false">
      <c r="A464" s="26"/>
      <c r="D464" s="31"/>
      <c r="F464" s="22"/>
      <c r="G464" s="22"/>
      <c r="H464" s="32" t="str">
        <f aca="false">IF(OR(B464="",F464="",F464=0),"",D464/F464)</f>
        <v/>
      </c>
      <c r="I464" s="14" t="str">
        <f aca="false">IF(OR(B464="",G464="",G464=0),"",D464/G464*1000)</f>
        <v/>
      </c>
    </row>
    <row r="465" customFormat="false" ht="15" hidden="false" customHeight="true" outlineLevel="0" collapsed="false">
      <c r="A465" s="26"/>
      <c r="D465" s="31"/>
      <c r="F465" s="22"/>
      <c r="G465" s="22"/>
      <c r="H465" s="32" t="str">
        <f aca="false">IF(OR(B465="",F465="",F465=0),"",D465/F465)</f>
        <v/>
      </c>
      <c r="I465" s="14" t="str">
        <f aca="false">IF(OR(B465="",G465="",G465=0),"",D465/G465*1000)</f>
        <v/>
      </c>
    </row>
    <row r="466" customFormat="false" ht="15" hidden="false" customHeight="true" outlineLevel="0" collapsed="false">
      <c r="A466" s="26"/>
      <c r="D466" s="31"/>
      <c r="F466" s="22"/>
      <c r="G466" s="22"/>
      <c r="H466" s="32" t="str">
        <f aca="false">IF(OR(B466="",F466="",F466=0),"",D466/F466)</f>
        <v/>
      </c>
      <c r="I466" s="14" t="str">
        <f aca="false">IF(OR(B466="",G466="",G466=0),"",D466/G466*1000)</f>
        <v/>
      </c>
    </row>
    <row r="467" customFormat="false" ht="15" hidden="false" customHeight="true" outlineLevel="0" collapsed="false">
      <c r="A467" s="26"/>
      <c r="D467" s="31"/>
      <c r="F467" s="22"/>
      <c r="G467" s="22"/>
      <c r="H467" s="32" t="str">
        <f aca="false">IF(OR(B467="",F467="",F467=0),"",D467/F467)</f>
        <v/>
      </c>
      <c r="I467" s="14" t="str">
        <f aca="false">IF(OR(B467="",G467="",G467=0),"",D467/G467*1000)</f>
        <v/>
      </c>
    </row>
    <row r="468" customFormat="false" ht="15" hidden="false" customHeight="true" outlineLevel="0" collapsed="false">
      <c r="A468" s="26"/>
      <c r="D468" s="31"/>
      <c r="F468" s="22"/>
      <c r="G468" s="22"/>
      <c r="H468" s="32" t="str">
        <f aca="false">IF(OR(B468="",F468="",F468=0),"",D468/F468)</f>
        <v/>
      </c>
      <c r="I468" s="14" t="str">
        <f aca="false">IF(OR(B468="",G468="",G468=0),"",D468/G468*1000)</f>
        <v/>
      </c>
    </row>
    <row r="469" customFormat="false" ht="15" hidden="false" customHeight="true" outlineLevel="0" collapsed="false">
      <c r="A469" s="26"/>
      <c r="D469" s="31"/>
      <c r="F469" s="22"/>
      <c r="G469" s="22"/>
      <c r="H469" s="32" t="str">
        <f aca="false">IF(OR(B469="",F469="",F469=0),"",D469/F469)</f>
        <v/>
      </c>
      <c r="I469" s="14" t="str">
        <f aca="false">IF(OR(B469="",G469="",G469=0),"",D469/G469*1000)</f>
        <v/>
      </c>
    </row>
    <row r="470" customFormat="false" ht="15" hidden="false" customHeight="true" outlineLevel="0" collapsed="false">
      <c r="A470" s="26"/>
      <c r="D470" s="31"/>
      <c r="F470" s="22"/>
      <c r="G470" s="22"/>
      <c r="H470" s="32" t="str">
        <f aca="false">IF(OR(B470="",F470="",F470=0),"",D470/F470)</f>
        <v/>
      </c>
      <c r="I470" s="14" t="str">
        <f aca="false">IF(OR(B470="",G470="",G470=0),"",D470/G470*1000)</f>
        <v/>
      </c>
    </row>
    <row r="471" customFormat="false" ht="15" hidden="false" customHeight="true" outlineLevel="0" collapsed="false">
      <c r="A471" s="26"/>
      <c r="D471" s="31"/>
      <c r="F471" s="22"/>
      <c r="G471" s="22"/>
      <c r="H471" s="32" t="str">
        <f aca="false">IF(OR(B471="",F471="",F471=0),"",D471/F471)</f>
        <v/>
      </c>
      <c r="I471" s="14" t="str">
        <f aca="false">IF(OR(B471="",G471="",G471=0),"",D471/G471*1000)</f>
        <v/>
      </c>
    </row>
    <row r="472" customFormat="false" ht="15" hidden="false" customHeight="true" outlineLevel="0" collapsed="false">
      <c r="A472" s="26"/>
      <c r="D472" s="31"/>
      <c r="F472" s="22"/>
      <c r="G472" s="22"/>
      <c r="H472" s="32" t="str">
        <f aca="false">IF(OR(B472="",F472="",F472=0),"",D472/F472)</f>
        <v/>
      </c>
      <c r="I472" s="14" t="str">
        <f aca="false">IF(OR(B472="",G472="",G472=0),"",D472/G472*1000)</f>
        <v/>
      </c>
    </row>
    <row r="473" customFormat="false" ht="15" hidden="false" customHeight="true" outlineLevel="0" collapsed="false">
      <c r="A473" s="26"/>
      <c r="D473" s="31"/>
      <c r="F473" s="22"/>
      <c r="G473" s="22"/>
      <c r="H473" s="32" t="str">
        <f aca="false">IF(OR(B473="",F473="",F473=0),"",D473/F473)</f>
        <v/>
      </c>
      <c r="I473" s="14" t="str">
        <f aca="false">IF(OR(B473="",G473="",G473=0),"",D473/G473*1000)</f>
        <v/>
      </c>
    </row>
    <row r="474" customFormat="false" ht="15" hidden="false" customHeight="true" outlineLevel="0" collapsed="false">
      <c r="A474" s="26"/>
      <c r="D474" s="31"/>
      <c r="F474" s="22"/>
      <c r="G474" s="22"/>
      <c r="H474" s="32" t="str">
        <f aca="false">IF(OR(B474="",F474="",F474=0),"",D474/F474)</f>
        <v/>
      </c>
      <c r="I474" s="14" t="str">
        <f aca="false">IF(OR(B474="",G474="",G474=0),"",D474/G474*1000)</f>
        <v/>
      </c>
    </row>
    <row r="475" customFormat="false" ht="15" hidden="false" customHeight="true" outlineLevel="0" collapsed="false">
      <c r="A475" s="26"/>
      <c r="D475" s="31"/>
      <c r="F475" s="22"/>
      <c r="G475" s="22"/>
      <c r="H475" s="32" t="str">
        <f aca="false">IF(OR(B475="",F475="",F475=0),"",D475/F475)</f>
        <v/>
      </c>
      <c r="I475" s="14" t="str">
        <f aca="false">IF(OR(B475="",G475="",G475=0),"",D475/G475*1000)</f>
        <v/>
      </c>
    </row>
    <row r="476" customFormat="false" ht="15" hidden="false" customHeight="true" outlineLevel="0" collapsed="false">
      <c r="A476" s="26"/>
      <c r="D476" s="31"/>
      <c r="F476" s="22"/>
      <c r="G476" s="22"/>
      <c r="H476" s="32" t="str">
        <f aca="false">IF(OR(B476="",F476="",F476=0),"",D476/F476)</f>
        <v/>
      </c>
      <c r="I476" s="14" t="str">
        <f aca="false">IF(OR(B476="",G476="",G476=0),"",D476/G476*1000)</f>
        <v/>
      </c>
    </row>
    <row r="477" customFormat="false" ht="15" hidden="false" customHeight="true" outlineLevel="0" collapsed="false">
      <c r="A477" s="26"/>
      <c r="D477" s="31"/>
      <c r="F477" s="22"/>
      <c r="G477" s="22"/>
      <c r="H477" s="32" t="str">
        <f aca="false">IF(OR(B477="",F477="",F477=0),"",D477/F477)</f>
        <v/>
      </c>
      <c r="I477" s="14" t="str">
        <f aca="false">IF(OR(B477="",G477="",G477=0),"",D477/G477*1000)</f>
        <v/>
      </c>
    </row>
    <row r="478" customFormat="false" ht="15" hidden="false" customHeight="true" outlineLevel="0" collapsed="false">
      <c r="A478" s="26"/>
      <c r="D478" s="31"/>
      <c r="F478" s="22"/>
      <c r="G478" s="22"/>
      <c r="H478" s="32" t="str">
        <f aca="false">IF(OR(B478="",F478="",F478=0),"",D478/F478)</f>
        <v/>
      </c>
      <c r="I478" s="14" t="str">
        <f aca="false">IF(OR(B478="",G478="",G478=0),"",D478/G478*1000)</f>
        <v/>
      </c>
    </row>
    <row r="479" customFormat="false" ht="15" hidden="false" customHeight="true" outlineLevel="0" collapsed="false">
      <c r="A479" s="26"/>
      <c r="D479" s="31"/>
      <c r="F479" s="22"/>
      <c r="G479" s="22"/>
      <c r="H479" s="32" t="str">
        <f aca="false">IF(OR(B479="",F479="",F479=0),"",D479/F479)</f>
        <v/>
      </c>
      <c r="I479" s="14" t="str">
        <f aca="false">IF(OR(B479="",G479="",G479=0),"",D479/G479*1000)</f>
        <v/>
      </c>
    </row>
    <row r="480" customFormat="false" ht="15" hidden="false" customHeight="true" outlineLevel="0" collapsed="false">
      <c r="A480" s="26"/>
      <c r="D480" s="31"/>
      <c r="F480" s="22"/>
      <c r="G480" s="22"/>
      <c r="H480" s="32" t="str">
        <f aca="false">IF(OR(B480="",F480="",F480=0),"",D480/F480)</f>
        <v/>
      </c>
      <c r="I480" s="14" t="str">
        <f aca="false">IF(OR(B480="",G480="",G480=0),"",D480/G480*1000)</f>
        <v/>
      </c>
    </row>
    <row r="481" customFormat="false" ht="15" hidden="false" customHeight="true" outlineLevel="0" collapsed="false">
      <c r="A481" s="26"/>
      <c r="D481" s="31"/>
      <c r="F481" s="22"/>
      <c r="G481" s="22"/>
      <c r="H481" s="32" t="str">
        <f aca="false">IF(OR(B481="",F481="",F481=0),"",D481/F481)</f>
        <v/>
      </c>
      <c r="I481" s="14" t="str">
        <f aca="false">IF(OR(B481="",G481="",G481=0),"",D481/G481*1000)</f>
        <v/>
      </c>
    </row>
    <row r="482" customFormat="false" ht="15" hidden="false" customHeight="true" outlineLevel="0" collapsed="false">
      <c r="A482" s="26"/>
      <c r="D482" s="31"/>
      <c r="F482" s="22"/>
      <c r="G482" s="22"/>
      <c r="H482" s="32" t="str">
        <f aca="false">IF(OR(B482="",F482="",F482=0),"",D482/F482)</f>
        <v/>
      </c>
      <c r="I482" s="14" t="str">
        <f aca="false">IF(OR(B482="",G482="",G482=0),"",D482/G482*1000)</f>
        <v/>
      </c>
    </row>
    <row r="483" customFormat="false" ht="15" hidden="false" customHeight="true" outlineLevel="0" collapsed="false">
      <c r="A483" s="26"/>
      <c r="D483" s="31"/>
      <c r="F483" s="22"/>
      <c r="G483" s="22"/>
      <c r="H483" s="32" t="str">
        <f aca="false">IF(OR(B483="",F483="",F483=0),"",D483/F483)</f>
        <v/>
      </c>
      <c r="I483" s="14" t="str">
        <f aca="false">IF(OR(B483="",G483="",G483=0),"",D483/G483*1000)</f>
        <v/>
      </c>
    </row>
    <row r="484" customFormat="false" ht="15" hidden="false" customHeight="true" outlineLevel="0" collapsed="false">
      <c r="A484" s="26"/>
      <c r="D484" s="31"/>
      <c r="F484" s="22"/>
      <c r="G484" s="22"/>
      <c r="H484" s="32" t="str">
        <f aca="false">IF(OR(B484="",F484="",F484=0),"",D484/F484)</f>
        <v/>
      </c>
      <c r="I484" s="14" t="str">
        <f aca="false">IF(OR(B484="",G484="",G484=0),"",D484/G484*1000)</f>
        <v/>
      </c>
    </row>
    <row r="485" customFormat="false" ht="15" hidden="false" customHeight="true" outlineLevel="0" collapsed="false">
      <c r="A485" s="26"/>
      <c r="D485" s="31"/>
      <c r="F485" s="22"/>
      <c r="G485" s="22"/>
      <c r="H485" s="32" t="str">
        <f aca="false">IF(OR(B485="",F485="",F485=0),"",D485/F485)</f>
        <v/>
      </c>
      <c r="I485" s="14" t="str">
        <f aca="false">IF(OR(B485="",G485="",G485=0),"",D485/G485*1000)</f>
        <v/>
      </c>
    </row>
    <row r="486" customFormat="false" ht="15" hidden="false" customHeight="true" outlineLevel="0" collapsed="false">
      <c r="A486" s="26"/>
      <c r="D486" s="31"/>
      <c r="F486" s="22"/>
      <c r="G486" s="22"/>
      <c r="H486" s="32" t="str">
        <f aca="false">IF(OR(B486="",F486="",F486=0),"",D486/F486)</f>
        <v/>
      </c>
      <c r="I486" s="14" t="str">
        <f aca="false">IF(OR(B486="",G486="",G486=0),"",D486/G486*1000)</f>
        <v/>
      </c>
    </row>
    <row r="487" customFormat="false" ht="15" hidden="false" customHeight="true" outlineLevel="0" collapsed="false">
      <c r="A487" s="26"/>
      <c r="D487" s="31"/>
      <c r="F487" s="22"/>
      <c r="G487" s="22"/>
      <c r="H487" s="32" t="str">
        <f aca="false">IF(OR(B487="",F487="",F487=0),"",D487/F487)</f>
        <v/>
      </c>
      <c r="I487" s="14" t="str">
        <f aca="false">IF(OR(B487="",G487="",G487=0),"",D487/G487*1000)</f>
        <v/>
      </c>
    </row>
    <row r="488" customFormat="false" ht="15" hidden="false" customHeight="true" outlineLevel="0" collapsed="false">
      <c r="A488" s="26"/>
      <c r="D488" s="31"/>
      <c r="F488" s="22"/>
      <c r="G488" s="22"/>
      <c r="H488" s="32" t="str">
        <f aca="false">IF(OR(B488="",F488="",F488=0),"",D488/F488)</f>
        <v/>
      </c>
      <c r="I488" s="14" t="str">
        <f aca="false">IF(OR(B488="",G488="",G488=0),"",D488/G488*1000)</f>
        <v/>
      </c>
    </row>
    <row r="489" customFormat="false" ht="15" hidden="false" customHeight="true" outlineLevel="0" collapsed="false">
      <c r="A489" s="26"/>
      <c r="D489" s="31"/>
      <c r="F489" s="22"/>
      <c r="G489" s="22"/>
      <c r="H489" s="32" t="str">
        <f aca="false">IF(OR(B489="",F489="",F489=0),"",D489/F489)</f>
        <v/>
      </c>
      <c r="I489" s="14" t="str">
        <f aca="false">IF(OR(B489="",G489="",G489=0),"",D489/G489*1000)</f>
        <v/>
      </c>
    </row>
    <row r="490" customFormat="false" ht="15" hidden="false" customHeight="true" outlineLevel="0" collapsed="false">
      <c r="A490" s="26"/>
      <c r="D490" s="31"/>
      <c r="F490" s="22"/>
      <c r="G490" s="22"/>
      <c r="H490" s="32" t="str">
        <f aca="false">IF(OR(B490="",F490="",F490=0),"",D490/F490)</f>
        <v/>
      </c>
      <c r="I490" s="14" t="str">
        <f aca="false">IF(OR(B490="",G490="",G490=0),"",D490/G490*1000)</f>
        <v/>
      </c>
    </row>
    <row r="491" customFormat="false" ht="15" hidden="false" customHeight="true" outlineLevel="0" collapsed="false">
      <c r="A491" s="26"/>
      <c r="D491" s="31"/>
      <c r="F491" s="22"/>
      <c r="G491" s="22"/>
      <c r="H491" s="32" t="str">
        <f aca="false">IF(OR(B491="",F491="",F491=0),"",D491/F491)</f>
        <v/>
      </c>
      <c r="I491" s="14" t="str">
        <f aca="false">IF(OR(B491="",G491="",G491=0),"",D491/G491*1000)</f>
        <v/>
      </c>
    </row>
    <row r="492" customFormat="false" ht="15" hidden="false" customHeight="true" outlineLevel="0" collapsed="false">
      <c r="A492" s="26"/>
      <c r="D492" s="31"/>
      <c r="F492" s="22"/>
      <c r="G492" s="22"/>
      <c r="H492" s="32" t="str">
        <f aca="false">IF(OR(B492="",F492="",F492=0),"",D492/F492)</f>
        <v/>
      </c>
      <c r="I492" s="14" t="str">
        <f aca="false">IF(OR(B492="",G492="",G492=0),"",D492/G492*1000)</f>
        <v/>
      </c>
    </row>
    <row r="493" customFormat="false" ht="15" hidden="false" customHeight="true" outlineLevel="0" collapsed="false">
      <c r="A493" s="26"/>
      <c r="D493" s="31"/>
      <c r="F493" s="22"/>
      <c r="G493" s="22"/>
      <c r="H493" s="32" t="str">
        <f aca="false">IF(OR(B493="",F493="",F493=0),"",D493/F493)</f>
        <v/>
      </c>
      <c r="I493" s="14" t="str">
        <f aca="false">IF(OR(B493="",G493="",G493=0),"",D493/G493*1000)</f>
        <v/>
      </c>
    </row>
    <row r="494" customFormat="false" ht="15" hidden="false" customHeight="true" outlineLevel="0" collapsed="false">
      <c r="A494" s="26"/>
      <c r="D494" s="31"/>
      <c r="F494" s="22"/>
      <c r="G494" s="22"/>
      <c r="H494" s="32" t="str">
        <f aca="false">IF(OR(B494="",F494="",F494=0),"",D494/F494)</f>
        <v/>
      </c>
      <c r="I494" s="14" t="str">
        <f aca="false">IF(OR(B494="",G494="",G494=0),"",D494/G494*1000)</f>
        <v/>
      </c>
    </row>
    <row r="495" customFormat="false" ht="15" hidden="false" customHeight="true" outlineLevel="0" collapsed="false">
      <c r="A495" s="26"/>
      <c r="D495" s="31"/>
      <c r="F495" s="22"/>
      <c r="G495" s="22"/>
      <c r="H495" s="32" t="str">
        <f aca="false">IF(OR(B495="",F495="",F495=0),"",D495/F495)</f>
        <v/>
      </c>
      <c r="I495" s="14" t="str">
        <f aca="false">IF(OR(B495="",G495="",G495=0),"",D495/G495*1000)</f>
        <v/>
      </c>
    </row>
    <row r="496" customFormat="false" ht="15" hidden="false" customHeight="true" outlineLevel="0" collapsed="false">
      <c r="A496" s="26"/>
      <c r="D496" s="31"/>
      <c r="F496" s="22"/>
      <c r="G496" s="22"/>
      <c r="H496" s="32" t="str">
        <f aca="false">IF(OR(B496="",F496="",F496=0),"",D496/F496)</f>
        <v/>
      </c>
      <c r="I496" s="14" t="str">
        <f aca="false">IF(OR(B496="",G496="",G496=0),"",D496/G496*1000)</f>
        <v/>
      </c>
    </row>
    <row r="497" customFormat="false" ht="15" hidden="false" customHeight="true" outlineLevel="0" collapsed="false">
      <c r="A497" s="26"/>
      <c r="D497" s="31"/>
      <c r="F497" s="22"/>
      <c r="G497" s="22"/>
      <c r="H497" s="32" t="str">
        <f aca="false">IF(OR(B497="",F497="",F497=0),"",D497/F497)</f>
        <v/>
      </c>
      <c r="I497" s="14" t="str">
        <f aca="false">IF(OR(B497="",G497="",G497=0),"",D497/G497*1000)</f>
        <v/>
      </c>
    </row>
    <row r="498" customFormat="false" ht="15" hidden="false" customHeight="true" outlineLevel="0" collapsed="false">
      <c r="A498" s="26"/>
      <c r="D498" s="31"/>
      <c r="F498" s="22"/>
      <c r="G498" s="22"/>
      <c r="H498" s="32" t="str">
        <f aca="false">IF(OR(B498="",F498="",F498=0),"",D498/F498)</f>
        <v/>
      </c>
      <c r="I498" s="14" t="str">
        <f aca="false">IF(OR(B498="",G498="",G498=0),"",D498/G498*1000)</f>
        <v/>
      </c>
    </row>
    <row r="499" customFormat="false" ht="15" hidden="false" customHeight="true" outlineLevel="0" collapsed="false">
      <c r="A499" s="26"/>
      <c r="D499" s="31"/>
      <c r="F499" s="22"/>
      <c r="G499" s="22"/>
      <c r="H499" s="32" t="str">
        <f aca="false">IF(OR(B499="",F499="",F499=0),"",D499/F499)</f>
        <v/>
      </c>
      <c r="I499" s="14" t="str">
        <f aca="false">IF(OR(B499="",G499="",G499=0),"",D499/G499*1000)</f>
        <v/>
      </c>
    </row>
    <row r="500" customFormat="false" ht="15" hidden="false" customHeight="true" outlineLevel="0" collapsed="false">
      <c r="A500" s="26"/>
      <c r="D500" s="31"/>
      <c r="F500" s="22"/>
      <c r="G500" s="22"/>
      <c r="H500" s="32" t="str">
        <f aca="false">IF(OR(B500="",F500="",F500=0),"",D500/F500)</f>
        <v/>
      </c>
      <c r="I500" s="14" t="str">
        <f aca="false">IF(OR(B500="",G500="",G500=0),"",D500/G500*1000)</f>
        <v/>
      </c>
    </row>
    <row r="502" customFormat="false" ht="39.75" hidden="false" customHeight="true" outlineLevel="0" collapsed="false">
      <c r="A502" s="8" t="s">
        <v>88</v>
      </c>
      <c r="B502" s="8"/>
      <c r="C502" s="8"/>
      <c r="D502" s="8"/>
      <c r="E502" s="8"/>
      <c r="F502" s="8"/>
      <c r="G502" s="8"/>
      <c r="H502" s="8"/>
      <c r="I502" s="8"/>
      <c r="J502" s="8"/>
    </row>
  </sheetData>
  <autoFilter ref="A1:J1"/>
  <mergeCells count="1">
    <mergeCell ref="A502:J502"/>
  </mergeCells>
  <dataValidations count="1">
    <dataValidation allowBlank="true" errorStyle="stop" operator="between" showDropDown="false" showErrorMessage="false" showInputMessage="false" sqref="E2:E500" type="list">
      <formula1>"Protein,Produce,Dairy,Grain/Starch,Snack,Beverage,Condiment/Other"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8" min="6" style="1" width="12"/>
  </cols>
  <sheetData>
    <row r="1" customFormat="false" ht="21.75" hidden="false" customHeight="true" outlineLevel="0" collapsed="false">
      <c r="A1" s="2" t="s">
        <v>89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8" t="s">
        <v>90</v>
      </c>
      <c r="B2" s="8"/>
      <c r="C2" s="8"/>
      <c r="D2" s="8"/>
      <c r="E2" s="8"/>
      <c r="F2" s="8"/>
      <c r="G2" s="8"/>
      <c r="H2" s="8"/>
    </row>
    <row r="4" customFormat="false" ht="19.5" hidden="false" customHeight="true" outlineLevel="0" collapsed="false">
      <c r="A4" s="9" t="s">
        <v>38</v>
      </c>
      <c r="B4" s="9" t="s">
        <v>74</v>
      </c>
      <c r="C4" s="9" t="s">
        <v>81</v>
      </c>
      <c r="D4" s="9" t="s">
        <v>82</v>
      </c>
      <c r="E4" s="9" t="s">
        <v>91</v>
      </c>
      <c r="F4" s="9" t="s">
        <v>92</v>
      </c>
      <c r="G4" s="9" t="s">
        <v>86</v>
      </c>
      <c r="H4" s="9" t="s">
        <v>87</v>
      </c>
    </row>
    <row r="5" customFormat="false" ht="15" hidden="false" customHeight="true" outlineLevel="0" collapsed="false">
      <c r="A5" s="12" t="str">
        <f aca="false">IF('Grocery Purchases'!B2="","",'Grocery Purchases'!A2)</f>
        <v/>
      </c>
      <c r="B5" s="17" t="str">
        <f aca="false">IF('Grocery Purchases'!B2="","",'Grocery Purchases'!B2)</f>
        <v/>
      </c>
      <c r="C5" s="17" t="str">
        <f aca="false">IF('Grocery Purchases'!B2="","",'Grocery Purchases'!C2)</f>
        <v/>
      </c>
      <c r="D5" s="14" t="str">
        <f aca="false">IF('Grocery Purchases'!B2="","",'Grocery Purchases'!D2)</f>
        <v/>
      </c>
      <c r="E5" s="11" t="str">
        <f aca="false">IF('Grocery Purchases'!B2="","",'Grocery Purchases'!F2)</f>
        <v/>
      </c>
      <c r="F5" s="11" t="str">
        <f aca="false">IF('Grocery Purchases'!B2="","",'Grocery Purchases'!G2)</f>
        <v/>
      </c>
      <c r="G5" s="32" t="str">
        <f aca="false">IF('Grocery Purchases'!B2="","",'Grocery Purchases'!H2)</f>
        <v/>
      </c>
      <c r="H5" s="14" t="str">
        <f aca="false">IF('Grocery Purchases'!B2="","",'Grocery Purchases'!I2)</f>
        <v/>
      </c>
    </row>
    <row r="6" customFormat="false" ht="15" hidden="false" customHeight="true" outlineLevel="0" collapsed="false">
      <c r="A6" s="12" t="str">
        <f aca="false">IF('Grocery Purchases'!B3="","",'Grocery Purchases'!A3)</f>
        <v/>
      </c>
      <c r="B6" s="17" t="str">
        <f aca="false">IF('Grocery Purchases'!B3="","",'Grocery Purchases'!B3)</f>
        <v/>
      </c>
      <c r="C6" s="17" t="str">
        <f aca="false">IF('Grocery Purchases'!B3="","",'Grocery Purchases'!C3)</f>
        <v/>
      </c>
      <c r="D6" s="14" t="str">
        <f aca="false">IF('Grocery Purchases'!B3="","",'Grocery Purchases'!D3)</f>
        <v/>
      </c>
      <c r="E6" s="11" t="str">
        <f aca="false">IF('Grocery Purchases'!B3="","",'Grocery Purchases'!F3)</f>
        <v/>
      </c>
      <c r="F6" s="11" t="str">
        <f aca="false">IF('Grocery Purchases'!B3="","",'Grocery Purchases'!G3)</f>
        <v/>
      </c>
      <c r="G6" s="32" t="str">
        <f aca="false">IF('Grocery Purchases'!B3="","",'Grocery Purchases'!H3)</f>
        <v/>
      </c>
      <c r="H6" s="14" t="str">
        <f aca="false">IF('Grocery Purchases'!B3="","",'Grocery Purchases'!I3)</f>
        <v/>
      </c>
    </row>
    <row r="7" customFormat="false" ht="15" hidden="false" customHeight="true" outlineLevel="0" collapsed="false">
      <c r="A7" s="12" t="str">
        <f aca="false">IF('Grocery Purchases'!B4="","",'Grocery Purchases'!A4)</f>
        <v/>
      </c>
      <c r="B7" s="17" t="str">
        <f aca="false">IF('Grocery Purchases'!B4="","",'Grocery Purchases'!B4)</f>
        <v/>
      </c>
      <c r="C7" s="17" t="str">
        <f aca="false">IF('Grocery Purchases'!B4="","",'Grocery Purchases'!C4)</f>
        <v/>
      </c>
      <c r="D7" s="14" t="str">
        <f aca="false">IF('Grocery Purchases'!B4="","",'Grocery Purchases'!D4)</f>
        <v/>
      </c>
      <c r="E7" s="11" t="str">
        <f aca="false">IF('Grocery Purchases'!B4="","",'Grocery Purchases'!F4)</f>
        <v/>
      </c>
      <c r="F7" s="11" t="str">
        <f aca="false">IF('Grocery Purchases'!B4="","",'Grocery Purchases'!G4)</f>
        <v/>
      </c>
      <c r="G7" s="32" t="str">
        <f aca="false">IF('Grocery Purchases'!B4="","",'Grocery Purchases'!H4)</f>
        <v/>
      </c>
      <c r="H7" s="14" t="str">
        <f aca="false">IF('Grocery Purchases'!B4="","",'Grocery Purchases'!I4)</f>
        <v/>
      </c>
    </row>
    <row r="8" customFormat="false" ht="15" hidden="false" customHeight="true" outlineLevel="0" collapsed="false">
      <c r="A8" s="12" t="str">
        <f aca="false">IF('Grocery Purchases'!B5="","",'Grocery Purchases'!A5)</f>
        <v/>
      </c>
      <c r="B8" s="17" t="str">
        <f aca="false">IF('Grocery Purchases'!B5="","",'Grocery Purchases'!B5)</f>
        <v/>
      </c>
      <c r="C8" s="17" t="str">
        <f aca="false">IF('Grocery Purchases'!B5="","",'Grocery Purchases'!C5)</f>
        <v/>
      </c>
      <c r="D8" s="14" t="str">
        <f aca="false">IF('Grocery Purchases'!B5="","",'Grocery Purchases'!D5)</f>
        <v/>
      </c>
      <c r="E8" s="11" t="str">
        <f aca="false">IF('Grocery Purchases'!B5="","",'Grocery Purchases'!F5)</f>
        <v/>
      </c>
      <c r="F8" s="11" t="str">
        <f aca="false">IF('Grocery Purchases'!B5="","",'Grocery Purchases'!G5)</f>
        <v/>
      </c>
      <c r="G8" s="32" t="str">
        <f aca="false">IF('Grocery Purchases'!B5="","",'Grocery Purchases'!H5)</f>
        <v/>
      </c>
      <c r="H8" s="14" t="str">
        <f aca="false">IF('Grocery Purchases'!B5="","",'Grocery Purchases'!I5)</f>
        <v/>
      </c>
    </row>
    <row r="9" customFormat="false" ht="15" hidden="false" customHeight="true" outlineLevel="0" collapsed="false">
      <c r="A9" s="12" t="str">
        <f aca="false">IF('Grocery Purchases'!B6="","",'Grocery Purchases'!A6)</f>
        <v/>
      </c>
      <c r="B9" s="17" t="str">
        <f aca="false">IF('Grocery Purchases'!B6="","",'Grocery Purchases'!B6)</f>
        <v/>
      </c>
      <c r="C9" s="17" t="str">
        <f aca="false">IF('Grocery Purchases'!B6="","",'Grocery Purchases'!C6)</f>
        <v/>
      </c>
      <c r="D9" s="14" t="str">
        <f aca="false">IF('Grocery Purchases'!B6="","",'Grocery Purchases'!D6)</f>
        <v/>
      </c>
      <c r="E9" s="11" t="str">
        <f aca="false">IF('Grocery Purchases'!B6="","",'Grocery Purchases'!F6)</f>
        <v/>
      </c>
      <c r="F9" s="11" t="str">
        <f aca="false">IF('Grocery Purchases'!B6="","",'Grocery Purchases'!G6)</f>
        <v/>
      </c>
      <c r="G9" s="32" t="str">
        <f aca="false">IF('Grocery Purchases'!B6="","",'Grocery Purchases'!H6)</f>
        <v/>
      </c>
      <c r="H9" s="14" t="str">
        <f aca="false">IF('Grocery Purchases'!B6="","",'Grocery Purchases'!I6)</f>
        <v/>
      </c>
    </row>
    <row r="10" customFormat="false" ht="15" hidden="false" customHeight="true" outlineLevel="0" collapsed="false">
      <c r="A10" s="12" t="str">
        <f aca="false">IF('Grocery Purchases'!B7="","",'Grocery Purchases'!A7)</f>
        <v/>
      </c>
      <c r="B10" s="17" t="str">
        <f aca="false">IF('Grocery Purchases'!B7="","",'Grocery Purchases'!B7)</f>
        <v/>
      </c>
      <c r="C10" s="17" t="str">
        <f aca="false">IF('Grocery Purchases'!B7="","",'Grocery Purchases'!C7)</f>
        <v/>
      </c>
      <c r="D10" s="14" t="str">
        <f aca="false">IF('Grocery Purchases'!B7="","",'Grocery Purchases'!D7)</f>
        <v/>
      </c>
      <c r="E10" s="11" t="str">
        <f aca="false">IF('Grocery Purchases'!B7="","",'Grocery Purchases'!F7)</f>
        <v/>
      </c>
      <c r="F10" s="11" t="str">
        <f aca="false">IF('Grocery Purchases'!B7="","",'Grocery Purchases'!G7)</f>
        <v/>
      </c>
      <c r="G10" s="32" t="str">
        <f aca="false">IF('Grocery Purchases'!B7="","",'Grocery Purchases'!H7)</f>
        <v/>
      </c>
      <c r="H10" s="14" t="str">
        <f aca="false">IF('Grocery Purchases'!B7="","",'Grocery Purchases'!I7)</f>
        <v/>
      </c>
    </row>
    <row r="11" customFormat="false" ht="15" hidden="false" customHeight="true" outlineLevel="0" collapsed="false">
      <c r="A11" s="12" t="str">
        <f aca="false">IF('Grocery Purchases'!B8="","",'Grocery Purchases'!A8)</f>
        <v/>
      </c>
      <c r="B11" s="17" t="str">
        <f aca="false">IF('Grocery Purchases'!B8="","",'Grocery Purchases'!B8)</f>
        <v/>
      </c>
      <c r="C11" s="17" t="str">
        <f aca="false">IF('Grocery Purchases'!B8="","",'Grocery Purchases'!C8)</f>
        <v/>
      </c>
      <c r="D11" s="14" t="str">
        <f aca="false">IF('Grocery Purchases'!B8="","",'Grocery Purchases'!D8)</f>
        <v/>
      </c>
      <c r="E11" s="11" t="str">
        <f aca="false">IF('Grocery Purchases'!B8="","",'Grocery Purchases'!F8)</f>
        <v/>
      </c>
      <c r="F11" s="11" t="str">
        <f aca="false">IF('Grocery Purchases'!B8="","",'Grocery Purchases'!G8)</f>
        <v/>
      </c>
      <c r="G11" s="32" t="str">
        <f aca="false">IF('Grocery Purchases'!B8="","",'Grocery Purchases'!H8)</f>
        <v/>
      </c>
      <c r="H11" s="14" t="str">
        <f aca="false">IF('Grocery Purchases'!B8="","",'Grocery Purchases'!I8)</f>
        <v/>
      </c>
    </row>
    <row r="12" customFormat="false" ht="15" hidden="false" customHeight="true" outlineLevel="0" collapsed="false">
      <c r="A12" s="12" t="str">
        <f aca="false">IF('Grocery Purchases'!B9="","",'Grocery Purchases'!A9)</f>
        <v/>
      </c>
      <c r="B12" s="17" t="str">
        <f aca="false">IF('Grocery Purchases'!B9="","",'Grocery Purchases'!B9)</f>
        <v/>
      </c>
      <c r="C12" s="17" t="str">
        <f aca="false">IF('Grocery Purchases'!B9="","",'Grocery Purchases'!C9)</f>
        <v/>
      </c>
      <c r="D12" s="14" t="str">
        <f aca="false">IF('Grocery Purchases'!B9="","",'Grocery Purchases'!D9)</f>
        <v/>
      </c>
      <c r="E12" s="11" t="str">
        <f aca="false">IF('Grocery Purchases'!B9="","",'Grocery Purchases'!F9)</f>
        <v/>
      </c>
      <c r="F12" s="11" t="str">
        <f aca="false">IF('Grocery Purchases'!B9="","",'Grocery Purchases'!G9)</f>
        <v/>
      </c>
      <c r="G12" s="32" t="str">
        <f aca="false">IF('Grocery Purchases'!B9="","",'Grocery Purchases'!H9)</f>
        <v/>
      </c>
      <c r="H12" s="14" t="str">
        <f aca="false">IF('Grocery Purchases'!B9="","",'Grocery Purchases'!I9)</f>
        <v/>
      </c>
    </row>
    <row r="13" customFormat="false" ht="15" hidden="false" customHeight="true" outlineLevel="0" collapsed="false">
      <c r="A13" s="12" t="str">
        <f aca="false">IF('Grocery Purchases'!B10="","",'Grocery Purchases'!A10)</f>
        <v/>
      </c>
      <c r="B13" s="17" t="str">
        <f aca="false">IF('Grocery Purchases'!B10="","",'Grocery Purchases'!B10)</f>
        <v/>
      </c>
      <c r="C13" s="17" t="str">
        <f aca="false">IF('Grocery Purchases'!B10="","",'Grocery Purchases'!C10)</f>
        <v/>
      </c>
      <c r="D13" s="14" t="str">
        <f aca="false">IF('Grocery Purchases'!B10="","",'Grocery Purchases'!D10)</f>
        <v/>
      </c>
      <c r="E13" s="11" t="str">
        <f aca="false">IF('Grocery Purchases'!B10="","",'Grocery Purchases'!F10)</f>
        <v/>
      </c>
      <c r="F13" s="11" t="str">
        <f aca="false">IF('Grocery Purchases'!B10="","",'Grocery Purchases'!G10)</f>
        <v/>
      </c>
      <c r="G13" s="32" t="str">
        <f aca="false">IF('Grocery Purchases'!B10="","",'Grocery Purchases'!H10)</f>
        <v/>
      </c>
      <c r="H13" s="14" t="str">
        <f aca="false">IF('Grocery Purchases'!B10="","",'Grocery Purchases'!I10)</f>
        <v/>
      </c>
    </row>
    <row r="14" customFormat="false" ht="15" hidden="false" customHeight="true" outlineLevel="0" collapsed="false">
      <c r="A14" s="12" t="str">
        <f aca="false">IF('Grocery Purchases'!B11="","",'Grocery Purchases'!A11)</f>
        <v/>
      </c>
      <c r="B14" s="17" t="str">
        <f aca="false">IF('Grocery Purchases'!B11="","",'Grocery Purchases'!B11)</f>
        <v/>
      </c>
      <c r="C14" s="17" t="str">
        <f aca="false">IF('Grocery Purchases'!B11="","",'Grocery Purchases'!C11)</f>
        <v/>
      </c>
      <c r="D14" s="14" t="str">
        <f aca="false">IF('Grocery Purchases'!B11="","",'Grocery Purchases'!D11)</f>
        <v/>
      </c>
      <c r="E14" s="11" t="str">
        <f aca="false">IF('Grocery Purchases'!B11="","",'Grocery Purchases'!F11)</f>
        <v/>
      </c>
      <c r="F14" s="11" t="str">
        <f aca="false">IF('Grocery Purchases'!B11="","",'Grocery Purchases'!G11)</f>
        <v/>
      </c>
      <c r="G14" s="32" t="str">
        <f aca="false">IF('Grocery Purchases'!B11="","",'Grocery Purchases'!H11)</f>
        <v/>
      </c>
      <c r="H14" s="14" t="str">
        <f aca="false">IF('Grocery Purchases'!B11="","",'Grocery Purchases'!I11)</f>
        <v/>
      </c>
    </row>
    <row r="15" customFormat="false" ht="15" hidden="false" customHeight="true" outlineLevel="0" collapsed="false">
      <c r="A15" s="12" t="str">
        <f aca="false">IF('Grocery Purchases'!B12="","",'Grocery Purchases'!A12)</f>
        <v/>
      </c>
      <c r="B15" s="17" t="str">
        <f aca="false">IF('Grocery Purchases'!B12="","",'Grocery Purchases'!B12)</f>
        <v/>
      </c>
      <c r="C15" s="17" t="str">
        <f aca="false">IF('Grocery Purchases'!B12="","",'Grocery Purchases'!C12)</f>
        <v/>
      </c>
      <c r="D15" s="14" t="str">
        <f aca="false">IF('Grocery Purchases'!B12="","",'Grocery Purchases'!D12)</f>
        <v/>
      </c>
      <c r="E15" s="11" t="str">
        <f aca="false">IF('Grocery Purchases'!B12="","",'Grocery Purchases'!F12)</f>
        <v/>
      </c>
      <c r="F15" s="11" t="str">
        <f aca="false">IF('Grocery Purchases'!B12="","",'Grocery Purchases'!G12)</f>
        <v/>
      </c>
      <c r="G15" s="32" t="str">
        <f aca="false">IF('Grocery Purchases'!B12="","",'Grocery Purchases'!H12)</f>
        <v/>
      </c>
      <c r="H15" s="14" t="str">
        <f aca="false">IF('Grocery Purchases'!B12="","",'Grocery Purchases'!I12)</f>
        <v/>
      </c>
    </row>
    <row r="16" customFormat="false" ht="15" hidden="false" customHeight="true" outlineLevel="0" collapsed="false">
      <c r="A16" s="12" t="str">
        <f aca="false">IF('Grocery Purchases'!B13="","",'Grocery Purchases'!A13)</f>
        <v/>
      </c>
      <c r="B16" s="17" t="str">
        <f aca="false">IF('Grocery Purchases'!B13="","",'Grocery Purchases'!B13)</f>
        <v/>
      </c>
      <c r="C16" s="17" t="str">
        <f aca="false">IF('Grocery Purchases'!B13="","",'Grocery Purchases'!C13)</f>
        <v/>
      </c>
      <c r="D16" s="14" t="str">
        <f aca="false">IF('Grocery Purchases'!B13="","",'Grocery Purchases'!D13)</f>
        <v/>
      </c>
      <c r="E16" s="11" t="str">
        <f aca="false">IF('Grocery Purchases'!B13="","",'Grocery Purchases'!F13)</f>
        <v/>
      </c>
      <c r="F16" s="11" t="str">
        <f aca="false">IF('Grocery Purchases'!B13="","",'Grocery Purchases'!G13)</f>
        <v/>
      </c>
      <c r="G16" s="32" t="str">
        <f aca="false">IF('Grocery Purchases'!B13="","",'Grocery Purchases'!H13)</f>
        <v/>
      </c>
      <c r="H16" s="14" t="str">
        <f aca="false">IF('Grocery Purchases'!B13="","",'Grocery Purchases'!I13)</f>
        <v/>
      </c>
    </row>
    <row r="17" customFormat="false" ht="15" hidden="false" customHeight="true" outlineLevel="0" collapsed="false">
      <c r="A17" s="12" t="str">
        <f aca="false">IF('Grocery Purchases'!B14="","",'Grocery Purchases'!A14)</f>
        <v/>
      </c>
      <c r="B17" s="17" t="str">
        <f aca="false">IF('Grocery Purchases'!B14="","",'Grocery Purchases'!B14)</f>
        <v/>
      </c>
      <c r="C17" s="17" t="str">
        <f aca="false">IF('Grocery Purchases'!B14="","",'Grocery Purchases'!C14)</f>
        <v/>
      </c>
      <c r="D17" s="14" t="str">
        <f aca="false">IF('Grocery Purchases'!B14="","",'Grocery Purchases'!D14)</f>
        <v/>
      </c>
      <c r="E17" s="11" t="str">
        <f aca="false">IF('Grocery Purchases'!B14="","",'Grocery Purchases'!F14)</f>
        <v/>
      </c>
      <c r="F17" s="11" t="str">
        <f aca="false">IF('Grocery Purchases'!B14="","",'Grocery Purchases'!G14)</f>
        <v/>
      </c>
      <c r="G17" s="32" t="str">
        <f aca="false">IF('Grocery Purchases'!B14="","",'Grocery Purchases'!H14)</f>
        <v/>
      </c>
      <c r="H17" s="14" t="str">
        <f aca="false">IF('Grocery Purchases'!B14="","",'Grocery Purchases'!I14)</f>
        <v/>
      </c>
    </row>
    <row r="18" customFormat="false" ht="15" hidden="false" customHeight="true" outlineLevel="0" collapsed="false">
      <c r="A18" s="12" t="str">
        <f aca="false">IF('Grocery Purchases'!B15="","",'Grocery Purchases'!A15)</f>
        <v/>
      </c>
      <c r="B18" s="17" t="str">
        <f aca="false">IF('Grocery Purchases'!B15="","",'Grocery Purchases'!B15)</f>
        <v/>
      </c>
      <c r="C18" s="17" t="str">
        <f aca="false">IF('Grocery Purchases'!B15="","",'Grocery Purchases'!C15)</f>
        <v/>
      </c>
      <c r="D18" s="14" t="str">
        <f aca="false">IF('Grocery Purchases'!B15="","",'Grocery Purchases'!D15)</f>
        <v/>
      </c>
      <c r="E18" s="11" t="str">
        <f aca="false">IF('Grocery Purchases'!B15="","",'Grocery Purchases'!F15)</f>
        <v/>
      </c>
      <c r="F18" s="11" t="str">
        <f aca="false">IF('Grocery Purchases'!B15="","",'Grocery Purchases'!G15)</f>
        <v/>
      </c>
      <c r="G18" s="32" t="str">
        <f aca="false">IF('Grocery Purchases'!B15="","",'Grocery Purchases'!H15)</f>
        <v/>
      </c>
      <c r="H18" s="14" t="str">
        <f aca="false">IF('Grocery Purchases'!B15="","",'Grocery Purchases'!I15)</f>
        <v/>
      </c>
    </row>
    <row r="19" customFormat="false" ht="15" hidden="false" customHeight="true" outlineLevel="0" collapsed="false">
      <c r="A19" s="12" t="str">
        <f aca="false">IF('Grocery Purchases'!B16="","",'Grocery Purchases'!A16)</f>
        <v/>
      </c>
      <c r="B19" s="17" t="str">
        <f aca="false">IF('Grocery Purchases'!B16="","",'Grocery Purchases'!B16)</f>
        <v/>
      </c>
      <c r="C19" s="17" t="str">
        <f aca="false">IF('Grocery Purchases'!B16="","",'Grocery Purchases'!C16)</f>
        <v/>
      </c>
      <c r="D19" s="14" t="str">
        <f aca="false">IF('Grocery Purchases'!B16="","",'Grocery Purchases'!D16)</f>
        <v/>
      </c>
      <c r="E19" s="11" t="str">
        <f aca="false">IF('Grocery Purchases'!B16="","",'Grocery Purchases'!F16)</f>
        <v/>
      </c>
      <c r="F19" s="11" t="str">
        <f aca="false">IF('Grocery Purchases'!B16="","",'Grocery Purchases'!G16)</f>
        <v/>
      </c>
      <c r="G19" s="32" t="str">
        <f aca="false">IF('Grocery Purchases'!B16="","",'Grocery Purchases'!H16)</f>
        <v/>
      </c>
      <c r="H19" s="14" t="str">
        <f aca="false">IF('Grocery Purchases'!B16="","",'Grocery Purchases'!I16)</f>
        <v/>
      </c>
    </row>
    <row r="20" customFormat="false" ht="15" hidden="false" customHeight="true" outlineLevel="0" collapsed="false">
      <c r="A20" s="12" t="str">
        <f aca="false">IF('Grocery Purchases'!B17="","",'Grocery Purchases'!A17)</f>
        <v/>
      </c>
      <c r="B20" s="17" t="str">
        <f aca="false">IF('Grocery Purchases'!B17="","",'Grocery Purchases'!B17)</f>
        <v/>
      </c>
      <c r="C20" s="17" t="str">
        <f aca="false">IF('Grocery Purchases'!B17="","",'Grocery Purchases'!C17)</f>
        <v/>
      </c>
      <c r="D20" s="14" t="str">
        <f aca="false">IF('Grocery Purchases'!B17="","",'Grocery Purchases'!D17)</f>
        <v/>
      </c>
      <c r="E20" s="11" t="str">
        <f aca="false">IF('Grocery Purchases'!B17="","",'Grocery Purchases'!F17)</f>
        <v/>
      </c>
      <c r="F20" s="11" t="str">
        <f aca="false">IF('Grocery Purchases'!B17="","",'Grocery Purchases'!G17)</f>
        <v/>
      </c>
      <c r="G20" s="32" t="str">
        <f aca="false">IF('Grocery Purchases'!B17="","",'Grocery Purchases'!H17)</f>
        <v/>
      </c>
      <c r="H20" s="14" t="str">
        <f aca="false">IF('Grocery Purchases'!B17="","",'Grocery Purchases'!I17)</f>
        <v/>
      </c>
    </row>
    <row r="21" customFormat="false" ht="15" hidden="false" customHeight="true" outlineLevel="0" collapsed="false">
      <c r="A21" s="12" t="str">
        <f aca="false">IF('Grocery Purchases'!B18="","",'Grocery Purchases'!A18)</f>
        <v/>
      </c>
      <c r="B21" s="17" t="str">
        <f aca="false">IF('Grocery Purchases'!B18="","",'Grocery Purchases'!B18)</f>
        <v/>
      </c>
      <c r="C21" s="17" t="str">
        <f aca="false">IF('Grocery Purchases'!B18="","",'Grocery Purchases'!C18)</f>
        <v/>
      </c>
      <c r="D21" s="14" t="str">
        <f aca="false">IF('Grocery Purchases'!B18="","",'Grocery Purchases'!D18)</f>
        <v/>
      </c>
      <c r="E21" s="11" t="str">
        <f aca="false">IF('Grocery Purchases'!B18="","",'Grocery Purchases'!F18)</f>
        <v/>
      </c>
      <c r="F21" s="11" t="str">
        <f aca="false">IF('Grocery Purchases'!B18="","",'Grocery Purchases'!G18)</f>
        <v/>
      </c>
      <c r="G21" s="32" t="str">
        <f aca="false">IF('Grocery Purchases'!B18="","",'Grocery Purchases'!H18)</f>
        <v/>
      </c>
      <c r="H21" s="14" t="str">
        <f aca="false">IF('Grocery Purchases'!B18="","",'Grocery Purchases'!I18)</f>
        <v/>
      </c>
    </row>
    <row r="22" customFormat="false" ht="15" hidden="false" customHeight="true" outlineLevel="0" collapsed="false">
      <c r="A22" s="12" t="str">
        <f aca="false">IF('Grocery Purchases'!B19="","",'Grocery Purchases'!A19)</f>
        <v/>
      </c>
      <c r="B22" s="17" t="str">
        <f aca="false">IF('Grocery Purchases'!B19="","",'Grocery Purchases'!B19)</f>
        <v/>
      </c>
      <c r="C22" s="17" t="str">
        <f aca="false">IF('Grocery Purchases'!B19="","",'Grocery Purchases'!C19)</f>
        <v/>
      </c>
      <c r="D22" s="14" t="str">
        <f aca="false">IF('Grocery Purchases'!B19="","",'Grocery Purchases'!D19)</f>
        <v/>
      </c>
      <c r="E22" s="11" t="str">
        <f aca="false">IF('Grocery Purchases'!B19="","",'Grocery Purchases'!F19)</f>
        <v/>
      </c>
      <c r="F22" s="11" t="str">
        <f aca="false">IF('Grocery Purchases'!B19="","",'Grocery Purchases'!G19)</f>
        <v/>
      </c>
      <c r="G22" s="32" t="str">
        <f aca="false">IF('Grocery Purchases'!B19="","",'Grocery Purchases'!H19)</f>
        <v/>
      </c>
      <c r="H22" s="14" t="str">
        <f aca="false">IF('Grocery Purchases'!B19="","",'Grocery Purchases'!I19)</f>
        <v/>
      </c>
    </row>
    <row r="23" customFormat="false" ht="15" hidden="false" customHeight="true" outlineLevel="0" collapsed="false">
      <c r="A23" s="12" t="str">
        <f aca="false">IF('Grocery Purchases'!B20="","",'Grocery Purchases'!A20)</f>
        <v/>
      </c>
      <c r="B23" s="17" t="str">
        <f aca="false">IF('Grocery Purchases'!B20="","",'Grocery Purchases'!B20)</f>
        <v/>
      </c>
      <c r="C23" s="17" t="str">
        <f aca="false">IF('Grocery Purchases'!B20="","",'Grocery Purchases'!C20)</f>
        <v/>
      </c>
      <c r="D23" s="14" t="str">
        <f aca="false">IF('Grocery Purchases'!B20="","",'Grocery Purchases'!D20)</f>
        <v/>
      </c>
      <c r="E23" s="11" t="str">
        <f aca="false">IF('Grocery Purchases'!B20="","",'Grocery Purchases'!F20)</f>
        <v/>
      </c>
      <c r="F23" s="11" t="str">
        <f aca="false">IF('Grocery Purchases'!B20="","",'Grocery Purchases'!G20)</f>
        <v/>
      </c>
      <c r="G23" s="32" t="str">
        <f aca="false">IF('Grocery Purchases'!B20="","",'Grocery Purchases'!H20)</f>
        <v/>
      </c>
      <c r="H23" s="14" t="str">
        <f aca="false">IF('Grocery Purchases'!B20="","",'Grocery Purchases'!I20)</f>
        <v/>
      </c>
    </row>
    <row r="24" customFormat="false" ht="15" hidden="false" customHeight="true" outlineLevel="0" collapsed="false">
      <c r="A24" s="12" t="str">
        <f aca="false">IF('Grocery Purchases'!B21="","",'Grocery Purchases'!A21)</f>
        <v/>
      </c>
      <c r="B24" s="17" t="str">
        <f aca="false">IF('Grocery Purchases'!B21="","",'Grocery Purchases'!B21)</f>
        <v/>
      </c>
      <c r="C24" s="17" t="str">
        <f aca="false">IF('Grocery Purchases'!B21="","",'Grocery Purchases'!C21)</f>
        <v/>
      </c>
      <c r="D24" s="14" t="str">
        <f aca="false">IF('Grocery Purchases'!B21="","",'Grocery Purchases'!D21)</f>
        <v/>
      </c>
      <c r="E24" s="11" t="str">
        <f aca="false">IF('Grocery Purchases'!B21="","",'Grocery Purchases'!F21)</f>
        <v/>
      </c>
      <c r="F24" s="11" t="str">
        <f aca="false">IF('Grocery Purchases'!B21="","",'Grocery Purchases'!G21)</f>
        <v/>
      </c>
      <c r="G24" s="32" t="str">
        <f aca="false">IF('Grocery Purchases'!B21="","",'Grocery Purchases'!H21)</f>
        <v/>
      </c>
      <c r="H24" s="14" t="str">
        <f aca="false">IF('Grocery Purchases'!B21="","",'Grocery Purchases'!I21)</f>
        <v/>
      </c>
    </row>
    <row r="25" customFormat="false" ht="15" hidden="false" customHeight="true" outlineLevel="0" collapsed="false">
      <c r="A25" s="12" t="str">
        <f aca="false">IF('Grocery Purchases'!B22="","",'Grocery Purchases'!A22)</f>
        <v/>
      </c>
      <c r="B25" s="17" t="str">
        <f aca="false">IF('Grocery Purchases'!B22="","",'Grocery Purchases'!B22)</f>
        <v/>
      </c>
      <c r="C25" s="17" t="str">
        <f aca="false">IF('Grocery Purchases'!B22="","",'Grocery Purchases'!C22)</f>
        <v/>
      </c>
      <c r="D25" s="14" t="str">
        <f aca="false">IF('Grocery Purchases'!B22="","",'Grocery Purchases'!D22)</f>
        <v/>
      </c>
      <c r="E25" s="11" t="str">
        <f aca="false">IF('Grocery Purchases'!B22="","",'Grocery Purchases'!F22)</f>
        <v/>
      </c>
      <c r="F25" s="11" t="str">
        <f aca="false">IF('Grocery Purchases'!B22="","",'Grocery Purchases'!G22)</f>
        <v/>
      </c>
      <c r="G25" s="32" t="str">
        <f aca="false">IF('Grocery Purchases'!B22="","",'Grocery Purchases'!H22)</f>
        <v/>
      </c>
      <c r="H25" s="14" t="str">
        <f aca="false">IF('Grocery Purchases'!B22="","",'Grocery Purchases'!I22)</f>
        <v/>
      </c>
    </row>
    <row r="26" customFormat="false" ht="15" hidden="false" customHeight="true" outlineLevel="0" collapsed="false">
      <c r="A26" s="12" t="str">
        <f aca="false">IF('Grocery Purchases'!B23="","",'Grocery Purchases'!A23)</f>
        <v/>
      </c>
      <c r="B26" s="17" t="str">
        <f aca="false">IF('Grocery Purchases'!B23="","",'Grocery Purchases'!B23)</f>
        <v/>
      </c>
      <c r="C26" s="17" t="str">
        <f aca="false">IF('Grocery Purchases'!B23="","",'Grocery Purchases'!C23)</f>
        <v/>
      </c>
      <c r="D26" s="14" t="str">
        <f aca="false">IF('Grocery Purchases'!B23="","",'Grocery Purchases'!D23)</f>
        <v/>
      </c>
      <c r="E26" s="11" t="str">
        <f aca="false">IF('Grocery Purchases'!B23="","",'Grocery Purchases'!F23)</f>
        <v/>
      </c>
      <c r="F26" s="11" t="str">
        <f aca="false">IF('Grocery Purchases'!B23="","",'Grocery Purchases'!G23)</f>
        <v/>
      </c>
      <c r="G26" s="32" t="str">
        <f aca="false">IF('Grocery Purchases'!B23="","",'Grocery Purchases'!H23)</f>
        <v/>
      </c>
      <c r="H26" s="14" t="str">
        <f aca="false">IF('Grocery Purchases'!B23="","",'Grocery Purchases'!I23)</f>
        <v/>
      </c>
    </row>
    <row r="27" customFormat="false" ht="15" hidden="false" customHeight="true" outlineLevel="0" collapsed="false">
      <c r="A27" s="12" t="str">
        <f aca="false">IF('Grocery Purchases'!B24="","",'Grocery Purchases'!A24)</f>
        <v/>
      </c>
      <c r="B27" s="17" t="str">
        <f aca="false">IF('Grocery Purchases'!B24="","",'Grocery Purchases'!B24)</f>
        <v/>
      </c>
      <c r="C27" s="17" t="str">
        <f aca="false">IF('Grocery Purchases'!B24="","",'Grocery Purchases'!C24)</f>
        <v/>
      </c>
      <c r="D27" s="14" t="str">
        <f aca="false">IF('Grocery Purchases'!B24="","",'Grocery Purchases'!D24)</f>
        <v/>
      </c>
      <c r="E27" s="11" t="str">
        <f aca="false">IF('Grocery Purchases'!B24="","",'Grocery Purchases'!F24)</f>
        <v/>
      </c>
      <c r="F27" s="11" t="str">
        <f aca="false">IF('Grocery Purchases'!B24="","",'Grocery Purchases'!G24)</f>
        <v/>
      </c>
      <c r="G27" s="32" t="str">
        <f aca="false">IF('Grocery Purchases'!B24="","",'Grocery Purchases'!H24)</f>
        <v/>
      </c>
      <c r="H27" s="14" t="str">
        <f aca="false">IF('Grocery Purchases'!B24="","",'Grocery Purchases'!I24)</f>
        <v/>
      </c>
    </row>
    <row r="28" customFormat="false" ht="15" hidden="false" customHeight="true" outlineLevel="0" collapsed="false">
      <c r="A28" s="12" t="str">
        <f aca="false">IF('Grocery Purchases'!B25="","",'Grocery Purchases'!A25)</f>
        <v/>
      </c>
      <c r="B28" s="17" t="str">
        <f aca="false">IF('Grocery Purchases'!B25="","",'Grocery Purchases'!B25)</f>
        <v/>
      </c>
      <c r="C28" s="17" t="str">
        <f aca="false">IF('Grocery Purchases'!B25="","",'Grocery Purchases'!C25)</f>
        <v/>
      </c>
      <c r="D28" s="14" t="str">
        <f aca="false">IF('Grocery Purchases'!B25="","",'Grocery Purchases'!D25)</f>
        <v/>
      </c>
      <c r="E28" s="11" t="str">
        <f aca="false">IF('Grocery Purchases'!B25="","",'Grocery Purchases'!F25)</f>
        <v/>
      </c>
      <c r="F28" s="11" t="str">
        <f aca="false">IF('Grocery Purchases'!B25="","",'Grocery Purchases'!G25)</f>
        <v/>
      </c>
      <c r="G28" s="32" t="str">
        <f aca="false">IF('Grocery Purchases'!B25="","",'Grocery Purchases'!H25)</f>
        <v/>
      </c>
      <c r="H28" s="14" t="str">
        <f aca="false">IF('Grocery Purchases'!B25="","",'Grocery Purchases'!I25)</f>
        <v/>
      </c>
    </row>
    <row r="29" customFormat="false" ht="15" hidden="false" customHeight="true" outlineLevel="0" collapsed="false">
      <c r="A29" s="12" t="str">
        <f aca="false">IF('Grocery Purchases'!B26="","",'Grocery Purchases'!A26)</f>
        <v/>
      </c>
      <c r="B29" s="17" t="str">
        <f aca="false">IF('Grocery Purchases'!B26="","",'Grocery Purchases'!B26)</f>
        <v/>
      </c>
      <c r="C29" s="17" t="str">
        <f aca="false">IF('Grocery Purchases'!B26="","",'Grocery Purchases'!C26)</f>
        <v/>
      </c>
      <c r="D29" s="14" t="str">
        <f aca="false">IF('Grocery Purchases'!B26="","",'Grocery Purchases'!D26)</f>
        <v/>
      </c>
      <c r="E29" s="11" t="str">
        <f aca="false">IF('Grocery Purchases'!B26="","",'Grocery Purchases'!F26)</f>
        <v/>
      </c>
      <c r="F29" s="11" t="str">
        <f aca="false">IF('Grocery Purchases'!B26="","",'Grocery Purchases'!G26)</f>
        <v/>
      </c>
      <c r="G29" s="32" t="str">
        <f aca="false">IF('Grocery Purchases'!B26="","",'Grocery Purchases'!H26)</f>
        <v/>
      </c>
      <c r="H29" s="14" t="str">
        <f aca="false">IF('Grocery Purchases'!B26="","",'Grocery Purchases'!I26)</f>
        <v/>
      </c>
    </row>
    <row r="30" customFormat="false" ht="15" hidden="false" customHeight="true" outlineLevel="0" collapsed="false">
      <c r="A30" s="12" t="str">
        <f aca="false">IF('Grocery Purchases'!B27="","",'Grocery Purchases'!A27)</f>
        <v/>
      </c>
      <c r="B30" s="17" t="str">
        <f aca="false">IF('Grocery Purchases'!B27="","",'Grocery Purchases'!B27)</f>
        <v/>
      </c>
      <c r="C30" s="17" t="str">
        <f aca="false">IF('Grocery Purchases'!B27="","",'Grocery Purchases'!C27)</f>
        <v/>
      </c>
      <c r="D30" s="14" t="str">
        <f aca="false">IF('Grocery Purchases'!B27="","",'Grocery Purchases'!D27)</f>
        <v/>
      </c>
      <c r="E30" s="11" t="str">
        <f aca="false">IF('Grocery Purchases'!B27="","",'Grocery Purchases'!F27)</f>
        <v/>
      </c>
      <c r="F30" s="11" t="str">
        <f aca="false">IF('Grocery Purchases'!B27="","",'Grocery Purchases'!G27)</f>
        <v/>
      </c>
      <c r="G30" s="32" t="str">
        <f aca="false">IF('Grocery Purchases'!B27="","",'Grocery Purchases'!H27)</f>
        <v/>
      </c>
      <c r="H30" s="14" t="str">
        <f aca="false">IF('Grocery Purchases'!B27="","",'Grocery Purchases'!I27)</f>
        <v/>
      </c>
    </row>
    <row r="31" customFormat="false" ht="15" hidden="false" customHeight="true" outlineLevel="0" collapsed="false">
      <c r="A31" s="12" t="str">
        <f aca="false">IF('Grocery Purchases'!B28="","",'Grocery Purchases'!A28)</f>
        <v/>
      </c>
      <c r="B31" s="17" t="str">
        <f aca="false">IF('Grocery Purchases'!B28="","",'Grocery Purchases'!B28)</f>
        <v/>
      </c>
      <c r="C31" s="17" t="str">
        <f aca="false">IF('Grocery Purchases'!B28="","",'Grocery Purchases'!C28)</f>
        <v/>
      </c>
      <c r="D31" s="14" t="str">
        <f aca="false">IF('Grocery Purchases'!B28="","",'Grocery Purchases'!D28)</f>
        <v/>
      </c>
      <c r="E31" s="11" t="str">
        <f aca="false">IF('Grocery Purchases'!B28="","",'Grocery Purchases'!F28)</f>
        <v/>
      </c>
      <c r="F31" s="11" t="str">
        <f aca="false">IF('Grocery Purchases'!B28="","",'Grocery Purchases'!G28)</f>
        <v/>
      </c>
      <c r="G31" s="32" t="str">
        <f aca="false">IF('Grocery Purchases'!B28="","",'Grocery Purchases'!H28)</f>
        <v/>
      </c>
      <c r="H31" s="14" t="str">
        <f aca="false">IF('Grocery Purchases'!B28="","",'Grocery Purchases'!I28)</f>
        <v/>
      </c>
    </row>
    <row r="32" customFormat="false" ht="15" hidden="false" customHeight="true" outlineLevel="0" collapsed="false">
      <c r="A32" s="12" t="str">
        <f aca="false">IF('Grocery Purchases'!B29="","",'Grocery Purchases'!A29)</f>
        <v/>
      </c>
      <c r="B32" s="17" t="str">
        <f aca="false">IF('Grocery Purchases'!B29="","",'Grocery Purchases'!B29)</f>
        <v/>
      </c>
      <c r="C32" s="17" t="str">
        <f aca="false">IF('Grocery Purchases'!B29="","",'Grocery Purchases'!C29)</f>
        <v/>
      </c>
      <c r="D32" s="14" t="str">
        <f aca="false">IF('Grocery Purchases'!B29="","",'Grocery Purchases'!D29)</f>
        <v/>
      </c>
      <c r="E32" s="11" t="str">
        <f aca="false">IF('Grocery Purchases'!B29="","",'Grocery Purchases'!F29)</f>
        <v/>
      </c>
      <c r="F32" s="11" t="str">
        <f aca="false">IF('Grocery Purchases'!B29="","",'Grocery Purchases'!G29)</f>
        <v/>
      </c>
      <c r="G32" s="32" t="str">
        <f aca="false">IF('Grocery Purchases'!B29="","",'Grocery Purchases'!H29)</f>
        <v/>
      </c>
      <c r="H32" s="14" t="str">
        <f aca="false">IF('Grocery Purchases'!B29="","",'Grocery Purchases'!I29)</f>
        <v/>
      </c>
    </row>
    <row r="33" customFormat="false" ht="15" hidden="false" customHeight="true" outlineLevel="0" collapsed="false">
      <c r="A33" s="12" t="str">
        <f aca="false">IF('Grocery Purchases'!B30="","",'Grocery Purchases'!A30)</f>
        <v/>
      </c>
      <c r="B33" s="17" t="str">
        <f aca="false">IF('Grocery Purchases'!B30="","",'Grocery Purchases'!B30)</f>
        <v/>
      </c>
      <c r="C33" s="17" t="str">
        <f aca="false">IF('Grocery Purchases'!B30="","",'Grocery Purchases'!C30)</f>
        <v/>
      </c>
      <c r="D33" s="14" t="str">
        <f aca="false">IF('Grocery Purchases'!B30="","",'Grocery Purchases'!D30)</f>
        <v/>
      </c>
      <c r="E33" s="11" t="str">
        <f aca="false">IF('Grocery Purchases'!B30="","",'Grocery Purchases'!F30)</f>
        <v/>
      </c>
      <c r="F33" s="11" t="str">
        <f aca="false">IF('Grocery Purchases'!B30="","",'Grocery Purchases'!G30)</f>
        <v/>
      </c>
      <c r="G33" s="32" t="str">
        <f aca="false">IF('Grocery Purchases'!B30="","",'Grocery Purchases'!H30)</f>
        <v/>
      </c>
      <c r="H33" s="14" t="str">
        <f aca="false">IF('Grocery Purchases'!B30="","",'Grocery Purchases'!I30)</f>
        <v/>
      </c>
    </row>
    <row r="34" customFormat="false" ht="15" hidden="false" customHeight="true" outlineLevel="0" collapsed="false">
      <c r="A34" s="12" t="str">
        <f aca="false">IF('Grocery Purchases'!B31="","",'Grocery Purchases'!A31)</f>
        <v/>
      </c>
      <c r="B34" s="17" t="str">
        <f aca="false">IF('Grocery Purchases'!B31="","",'Grocery Purchases'!B31)</f>
        <v/>
      </c>
      <c r="C34" s="17" t="str">
        <f aca="false">IF('Grocery Purchases'!B31="","",'Grocery Purchases'!C31)</f>
        <v/>
      </c>
      <c r="D34" s="14" t="str">
        <f aca="false">IF('Grocery Purchases'!B31="","",'Grocery Purchases'!D31)</f>
        <v/>
      </c>
      <c r="E34" s="11" t="str">
        <f aca="false">IF('Grocery Purchases'!B31="","",'Grocery Purchases'!F31)</f>
        <v/>
      </c>
      <c r="F34" s="11" t="str">
        <f aca="false">IF('Grocery Purchases'!B31="","",'Grocery Purchases'!G31)</f>
        <v/>
      </c>
      <c r="G34" s="32" t="str">
        <f aca="false">IF('Grocery Purchases'!B31="","",'Grocery Purchases'!H31)</f>
        <v/>
      </c>
      <c r="H34" s="14" t="str">
        <f aca="false">IF('Grocery Purchases'!B31="","",'Grocery Purchases'!I31)</f>
        <v/>
      </c>
    </row>
    <row r="35" customFormat="false" ht="15" hidden="false" customHeight="true" outlineLevel="0" collapsed="false">
      <c r="A35" s="12" t="str">
        <f aca="false">IF('Grocery Purchases'!B32="","",'Grocery Purchases'!A32)</f>
        <v/>
      </c>
      <c r="B35" s="17" t="str">
        <f aca="false">IF('Grocery Purchases'!B32="","",'Grocery Purchases'!B32)</f>
        <v/>
      </c>
      <c r="C35" s="17" t="str">
        <f aca="false">IF('Grocery Purchases'!B32="","",'Grocery Purchases'!C32)</f>
        <v/>
      </c>
      <c r="D35" s="14" t="str">
        <f aca="false">IF('Grocery Purchases'!B32="","",'Grocery Purchases'!D32)</f>
        <v/>
      </c>
      <c r="E35" s="11" t="str">
        <f aca="false">IF('Grocery Purchases'!B32="","",'Grocery Purchases'!F32)</f>
        <v/>
      </c>
      <c r="F35" s="11" t="str">
        <f aca="false">IF('Grocery Purchases'!B32="","",'Grocery Purchases'!G32)</f>
        <v/>
      </c>
      <c r="G35" s="32" t="str">
        <f aca="false">IF('Grocery Purchases'!B32="","",'Grocery Purchases'!H32)</f>
        <v/>
      </c>
      <c r="H35" s="14" t="str">
        <f aca="false">IF('Grocery Purchases'!B32="","",'Grocery Purchases'!I32)</f>
        <v/>
      </c>
    </row>
    <row r="36" customFormat="false" ht="15" hidden="false" customHeight="true" outlineLevel="0" collapsed="false">
      <c r="A36" s="12" t="str">
        <f aca="false">IF('Grocery Purchases'!B33="","",'Grocery Purchases'!A33)</f>
        <v/>
      </c>
      <c r="B36" s="17" t="str">
        <f aca="false">IF('Grocery Purchases'!B33="","",'Grocery Purchases'!B33)</f>
        <v/>
      </c>
      <c r="C36" s="17" t="str">
        <f aca="false">IF('Grocery Purchases'!B33="","",'Grocery Purchases'!C33)</f>
        <v/>
      </c>
      <c r="D36" s="14" t="str">
        <f aca="false">IF('Grocery Purchases'!B33="","",'Grocery Purchases'!D33)</f>
        <v/>
      </c>
      <c r="E36" s="11" t="str">
        <f aca="false">IF('Grocery Purchases'!B33="","",'Grocery Purchases'!F33)</f>
        <v/>
      </c>
      <c r="F36" s="11" t="str">
        <f aca="false">IF('Grocery Purchases'!B33="","",'Grocery Purchases'!G33)</f>
        <v/>
      </c>
      <c r="G36" s="32" t="str">
        <f aca="false">IF('Grocery Purchases'!B33="","",'Grocery Purchases'!H33)</f>
        <v/>
      </c>
      <c r="H36" s="14" t="str">
        <f aca="false">IF('Grocery Purchases'!B33="","",'Grocery Purchases'!I33)</f>
        <v/>
      </c>
    </row>
    <row r="37" customFormat="false" ht="15" hidden="false" customHeight="true" outlineLevel="0" collapsed="false">
      <c r="A37" s="12" t="str">
        <f aca="false">IF('Grocery Purchases'!B34="","",'Grocery Purchases'!A34)</f>
        <v/>
      </c>
      <c r="B37" s="17" t="str">
        <f aca="false">IF('Grocery Purchases'!B34="","",'Grocery Purchases'!B34)</f>
        <v/>
      </c>
      <c r="C37" s="17" t="str">
        <f aca="false">IF('Grocery Purchases'!B34="","",'Grocery Purchases'!C34)</f>
        <v/>
      </c>
      <c r="D37" s="14" t="str">
        <f aca="false">IF('Grocery Purchases'!B34="","",'Grocery Purchases'!D34)</f>
        <v/>
      </c>
      <c r="E37" s="11" t="str">
        <f aca="false">IF('Grocery Purchases'!B34="","",'Grocery Purchases'!F34)</f>
        <v/>
      </c>
      <c r="F37" s="11" t="str">
        <f aca="false">IF('Grocery Purchases'!B34="","",'Grocery Purchases'!G34)</f>
        <v/>
      </c>
      <c r="G37" s="32" t="str">
        <f aca="false">IF('Grocery Purchases'!B34="","",'Grocery Purchases'!H34)</f>
        <v/>
      </c>
      <c r="H37" s="14" t="str">
        <f aca="false">IF('Grocery Purchases'!B34="","",'Grocery Purchases'!I34)</f>
        <v/>
      </c>
    </row>
    <row r="38" customFormat="false" ht="15" hidden="false" customHeight="true" outlineLevel="0" collapsed="false">
      <c r="A38" s="12" t="str">
        <f aca="false">IF('Grocery Purchases'!B35="","",'Grocery Purchases'!A35)</f>
        <v/>
      </c>
      <c r="B38" s="17" t="str">
        <f aca="false">IF('Grocery Purchases'!B35="","",'Grocery Purchases'!B35)</f>
        <v/>
      </c>
      <c r="C38" s="17" t="str">
        <f aca="false">IF('Grocery Purchases'!B35="","",'Grocery Purchases'!C35)</f>
        <v/>
      </c>
      <c r="D38" s="14" t="str">
        <f aca="false">IF('Grocery Purchases'!B35="","",'Grocery Purchases'!D35)</f>
        <v/>
      </c>
      <c r="E38" s="11" t="str">
        <f aca="false">IF('Grocery Purchases'!B35="","",'Grocery Purchases'!F35)</f>
        <v/>
      </c>
      <c r="F38" s="11" t="str">
        <f aca="false">IF('Grocery Purchases'!B35="","",'Grocery Purchases'!G35)</f>
        <v/>
      </c>
      <c r="G38" s="32" t="str">
        <f aca="false">IF('Grocery Purchases'!B35="","",'Grocery Purchases'!H35)</f>
        <v/>
      </c>
      <c r="H38" s="14" t="str">
        <f aca="false">IF('Grocery Purchases'!B35="","",'Grocery Purchases'!I35)</f>
        <v/>
      </c>
    </row>
    <row r="39" customFormat="false" ht="15" hidden="false" customHeight="true" outlineLevel="0" collapsed="false">
      <c r="A39" s="12" t="str">
        <f aca="false">IF('Grocery Purchases'!B36="","",'Grocery Purchases'!A36)</f>
        <v/>
      </c>
      <c r="B39" s="17" t="str">
        <f aca="false">IF('Grocery Purchases'!B36="","",'Grocery Purchases'!B36)</f>
        <v/>
      </c>
      <c r="C39" s="17" t="str">
        <f aca="false">IF('Grocery Purchases'!B36="","",'Grocery Purchases'!C36)</f>
        <v/>
      </c>
      <c r="D39" s="14" t="str">
        <f aca="false">IF('Grocery Purchases'!B36="","",'Grocery Purchases'!D36)</f>
        <v/>
      </c>
      <c r="E39" s="11" t="str">
        <f aca="false">IF('Grocery Purchases'!B36="","",'Grocery Purchases'!F36)</f>
        <v/>
      </c>
      <c r="F39" s="11" t="str">
        <f aca="false">IF('Grocery Purchases'!B36="","",'Grocery Purchases'!G36)</f>
        <v/>
      </c>
      <c r="G39" s="32" t="str">
        <f aca="false">IF('Grocery Purchases'!B36="","",'Grocery Purchases'!H36)</f>
        <v/>
      </c>
      <c r="H39" s="14" t="str">
        <f aca="false">IF('Grocery Purchases'!B36="","",'Grocery Purchases'!I36)</f>
        <v/>
      </c>
    </row>
    <row r="40" customFormat="false" ht="15" hidden="false" customHeight="true" outlineLevel="0" collapsed="false">
      <c r="A40" s="12" t="str">
        <f aca="false">IF('Grocery Purchases'!B37="","",'Grocery Purchases'!A37)</f>
        <v/>
      </c>
      <c r="B40" s="17" t="str">
        <f aca="false">IF('Grocery Purchases'!B37="","",'Grocery Purchases'!B37)</f>
        <v/>
      </c>
      <c r="C40" s="17" t="str">
        <f aca="false">IF('Grocery Purchases'!B37="","",'Grocery Purchases'!C37)</f>
        <v/>
      </c>
      <c r="D40" s="14" t="str">
        <f aca="false">IF('Grocery Purchases'!B37="","",'Grocery Purchases'!D37)</f>
        <v/>
      </c>
      <c r="E40" s="11" t="str">
        <f aca="false">IF('Grocery Purchases'!B37="","",'Grocery Purchases'!F37)</f>
        <v/>
      </c>
      <c r="F40" s="11" t="str">
        <f aca="false">IF('Grocery Purchases'!B37="","",'Grocery Purchases'!G37)</f>
        <v/>
      </c>
      <c r="G40" s="32" t="str">
        <f aca="false">IF('Grocery Purchases'!B37="","",'Grocery Purchases'!H37)</f>
        <v/>
      </c>
      <c r="H40" s="14" t="str">
        <f aca="false">IF('Grocery Purchases'!B37="","",'Grocery Purchases'!I37)</f>
        <v/>
      </c>
    </row>
    <row r="41" customFormat="false" ht="15" hidden="false" customHeight="true" outlineLevel="0" collapsed="false">
      <c r="A41" s="12" t="str">
        <f aca="false">IF('Grocery Purchases'!B38="","",'Grocery Purchases'!A38)</f>
        <v/>
      </c>
      <c r="B41" s="17" t="str">
        <f aca="false">IF('Grocery Purchases'!B38="","",'Grocery Purchases'!B38)</f>
        <v/>
      </c>
      <c r="C41" s="17" t="str">
        <f aca="false">IF('Grocery Purchases'!B38="","",'Grocery Purchases'!C38)</f>
        <v/>
      </c>
      <c r="D41" s="14" t="str">
        <f aca="false">IF('Grocery Purchases'!B38="","",'Grocery Purchases'!D38)</f>
        <v/>
      </c>
      <c r="E41" s="11" t="str">
        <f aca="false">IF('Grocery Purchases'!B38="","",'Grocery Purchases'!F38)</f>
        <v/>
      </c>
      <c r="F41" s="11" t="str">
        <f aca="false">IF('Grocery Purchases'!B38="","",'Grocery Purchases'!G38)</f>
        <v/>
      </c>
      <c r="G41" s="32" t="str">
        <f aca="false">IF('Grocery Purchases'!B38="","",'Grocery Purchases'!H38)</f>
        <v/>
      </c>
      <c r="H41" s="14" t="str">
        <f aca="false">IF('Grocery Purchases'!B38="","",'Grocery Purchases'!I38)</f>
        <v/>
      </c>
    </row>
    <row r="42" customFormat="false" ht="15" hidden="false" customHeight="true" outlineLevel="0" collapsed="false">
      <c r="A42" s="12" t="str">
        <f aca="false">IF('Grocery Purchases'!B39="","",'Grocery Purchases'!A39)</f>
        <v/>
      </c>
      <c r="B42" s="17" t="str">
        <f aca="false">IF('Grocery Purchases'!B39="","",'Grocery Purchases'!B39)</f>
        <v/>
      </c>
      <c r="C42" s="17" t="str">
        <f aca="false">IF('Grocery Purchases'!B39="","",'Grocery Purchases'!C39)</f>
        <v/>
      </c>
      <c r="D42" s="14" t="str">
        <f aca="false">IF('Grocery Purchases'!B39="","",'Grocery Purchases'!D39)</f>
        <v/>
      </c>
      <c r="E42" s="11" t="str">
        <f aca="false">IF('Grocery Purchases'!B39="","",'Grocery Purchases'!F39)</f>
        <v/>
      </c>
      <c r="F42" s="11" t="str">
        <f aca="false">IF('Grocery Purchases'!B39="","",'Grocery Purchases'!G39)</f>
        <v/>
      </c>
      <c r="G42" s="32" t="str">
        <f aca="false">IF('Grocery Purchases'!B39="","",'Grocery Purchases'!H39)</f>
        <v/>
      </c>
      <c r="H42" s="14" t="str">
        <f aca="false">IF('Grocery Purchases'!B39="","",'Grocery Purchases'!I39)</f>
        <v/>
      </c>
    </row>
    <row r="43" customFormat="false" ht="15" hidden="false" customHeight="true" outlineLevel="0" collapsed="false">
      <c r="A43" s="12" t="str">
        <f aca="false">IF('Grocery Purchases'!B40="","",'Grocery Purchases'!A40)</f>
        <v/>
      </c>
      <c r="B43" s="17" t="str">
        <f aca="false">IF('Grocery Purchases'!B40="","",'Grocery Purchases'!B40)</f>
        <v/>
      </c>
      <c r="C43" s="17" t="str">
        <f aca="false">IF('Grocery Purchases'!B40="","",'Grocery Purchases'!C40)</f>
        <v/>
      </c>
      <c r="D43" s="14" t="str">
        <f aca="false">IF('Grocery Purchases'!B40="","",'Grocery Purchases'!D40)</f>
        <v/>
      </c>
      <c r="E43" s="11" t="str">
        <f aca="false">IF('Grocery Purchases'!B40="","",'Grocery Purchases'!F40)</f>
        <v/>
      </c>
      <c r="F43" s="11" t="str">
        <f aca="false">IF('Grocery Purchases'!B40="","",'Grocery Purchases'!G40)</f>
        <v/>
      </c>
      <c r="G43" s="32" t="str">
        <f aca="false">IF('Grocery Purchases'!B40="","",'Grocery Purchases'!H40)</f>
        <v/>
      </c>
      <c r="H43" s="14" t="str">
        <f aca="false">IF('Grocery Purchases'!B40="","",'Grocery Purchases'!I40)</f>
        <v/>
      </c>
    </row>
    <row r="44" customFormat="false" ht="15" hidden="false" customHeight="true" outlineLevel="0" collapsed="false">
      <c r="A44" s="12" t="str">
        <f aca="false">IF('Grocery Purchases'!B41="","",'Grocery Purchases'!A41)</f>
        <v/>
      </c>
      <c r="B44" s="17" t="str">
        <f aca="false">IF('Grocery Purchases'!B41="","",'Grocery Purchases'!B41)</f>
        <v/>
      </c>
      <c r="C44" s="17" t="str">
        <f aca="false">IF('Grocery Purchases'!B41="","",'Grocery Purchases'!C41)</f>
        <v/>
      </c>
      <c r="D44" s="14" t="str">
        <f aca="false">IF('Grocery Purchases'!B41="","",'Grocery Purchases'!D41)</f>
        <v/>
      </c>
      <c r="E44" s="11" t="str">
        <f aca="false">IF('Grocery Purchases'!B41="","",'Grocery Purchases'!F41)</f>
        <v/>
      </c>
      <c r="F44" s="11" t="str">
        <f aca="false">IF('Grocery Purchases'!B41="","",'Grocery Purchases'!G41)</f>
        <v/>
      </c>
      <c r="G44" s="32" t="str">
        <f aca="false">IF('Grocery Purchases'!B41="","",'Grocery Purchases'!H41)</f>
        <v/>
      </c>
      <c r="H44" s="14" t="str">
        <f aca="false">IF('Grocery Purchases'!B41="","",'Grocery Purchases'!I41)</f>
        <v/>
      </c>
    </row>
    <row r="45" customFormat="false" ht="15" hidden="false" customHeight="true" outlineLevel="0" collapsed="false">
      <c r="A45" s="12" t="str">
        <f aca="false">IF('Grocery Purchases'!B42="","",'Grocery Purchases'!A42)</f>
        <v/>
      </c>
      <c r="B45" s="17" t="str">
        <f aca="false">IF('Grocery Purchases'!B42="","",'Grocery Purchases'!B42)</f>
        <v/>
      </c>
      <c r="C45" s="17" t="str">
        <f aca="false">IF('Grocery Purchases'!B42="","",'Grocery Purchases'!C42)</f>
        <v/>
      </c>
      <c r="D45" s="14" t="str">
        <f aca="false">IF('Grocery Purchases'!B42="","",'Grocery Purchases'!D42)</f>
        <v/>
      </c>
      <c r="E45" s="11" t="str">
        <f aca="false">IF('Grocery Purchases'!B42="","",'Grocery Purchases'!F42)</f>
        <v/>
      </c>
      <c r="F45" s="11" t="str">
        <f aca="false">IF('Grocery Purchases'!B42="","",'Grocery Purchases'!G42)</f>
        <v/>
      </c>
      <c r="G45" s="32" t="str">
        <f aca="false">IF('Grocery Purchases'!B42="","",'Grocery Purchases'!H42)</f>
        <v/>
      </c>
      <c r="H45" s="14" t="str">
        <f aca="false">IF('Grocery Purchases'!B42="","",'Grocery Purchases'!I42)</f>
        <v/>
      </c>
    </row>
    <row r="46" customFormat="false" ht="15" hidden="false" customHeight="true" outlineLevel="0" collapsed="false">
      <c r="A46" s="12" t="str">
        <f aca="false">IF('Grocery Purchases'!B43="","",'Grocery Purchases'!A43)</f>
        <v/>
      </c>
      <c r="B46" s="17" t="str">
        <f aca="false">IF('Grocery Purchases'!B43="","",'Grocery Purchases'!B43)</f>
        <v/>
      </c>
      <c r="C46" s="17" t="str">
        <f aca="false">IF('Grocery Purchases'!B43="","",'Grocery Purchases'!C43)</f>
        <v/>
      </c>
      <c r="D46" s="14" t="str">
        <f aca="false">IF('Grocery Purchases'!B43="","",'Grocery Purchases'!D43)</f>
        <v/>
      </c>
      <c r="E46" s="11" t="str">
        <f aca="false">IF('Grocery Purchases'!B43="","",'Grocery Purchases'!F43)</f>
        <v/>
      </c>
      <c r="F46" s="11" t="str">
        <f aca="false">IF('Grocery Purchases'!B43="","",'Grocery Purchases'!G43)</f>
        <v/>
      </c>
      <c r="G46" s="32" t="str">
        <f aca="false">IF('Grocery Purchases'!B43="","",'Grocery Purchases'!H43)</f>
        <v/>
      </c>
      <c r="H46" s="14" t="str">
        <f aca="false">IF('Grocery Purchases'!B43="","",'Grocery Purchases'!I43)</f>
        <v/>
      </c>
    </row>
    <row r="47" customFormat="false" ht="15" hidden="false" customHeight="true" outlineLevel="0" collapsed="false">
      <c r="A47" s="12" t="str">
        <f aca="false">IF('Grocery Purchases'!B44="","",'Grocery Purchases'!A44)</f>
        <v/>
      </c>
      <c r="B47" s="17" t="str">
        <f aca="false">IF('Grocery Purchases'!B44="","",'Grocery Purchases'!B44)</f>
        <v/>
      </c>
      <c r="C47" s="17" t="str">
        <f aca="false">IF('Grocery Purchases'!B44="","",'Grocery Purchases'!C44)</f>
        <v/>
      </c>
      <c r="D47" s="14" t="str">
        <f aca="false">IF('Grocery Purchases'!B44="","",'Grocery Purchases'!D44)</f>
        <v/>
      </c>
      <c r="E47" s="11" t="str">
        <f aca="false">IF('Grocery Purchases'!B44="","",'Grocery Purchases'!F44)</f>
        <v/>
      </c>
      <c r="F47" s="11" t="str">
        <f aca="false">IF('Grocery Purchases'!B44="","",'Grocery Purchases'!G44)</f>
        <v/>
      </c>
      <c r="G47" s="32" t="str">
        <f aca="false">IF('Grocery Purchases'!B44="","",'Grocery Purchases'!H44)</f>
        <v/>
      </c>
      <c r="H47" s="14" t="str">
        <f aca="false">IF('Grocery Purchases'!B44="","",'Grocery Purchases'!I44)</f>
        <v/>
      </c>
    </row>
    <row r="48" customFormat="false" ht="15" hidden="false" customHeight="true" outlineLevel="0" collapsed="false">
      <c r="A48" s="12" t="str">
        <f aca="false">IF('Grocery Purchases'!B45="","",'Grocery Purchases'!A45)</f>
        <v/>
      </c>
      <c r="B48" s="17" t="str">
        <f aca="false">IF('Grocery Purchases'!B45="","",'Grocery Purchases'!B45)</f>
        <v/>
      </c>
      <c r="C48" s="17" t="str">
        <f aca="false">IF('Grocery Purchases'!B45="","",'Grocery Purchases'!C45)</f>
        <v/>
      </c>
      <c r="D48" s="14" t="str">
        <f aca="false">IF('Grocery Purchases'!B45="","",'Grocery Purchases'!D45)</f>
        <v/>
      </c>
      <c r="E48" s="11" t="str">
        <f aca="false">IF('Grocery Purchases'!B45="","",'Grocery Purchases'!F45)</f>
        <v/>
      </c>
      <c r="F48" s="11" t="str">
        <f aca="false">IF('Grocery Purchases'!B45="","",'Grocery Purchases'!G45)</f>
        <v/>
      </c>
      <c r="G48" s="32" t="str">
        <f aca="false">IF('Grocery Purchases'!B45="","",'Grocery Purchases'!H45)</f>
        <v/>
      </c>
      <c r="H48" s="14" t="str">
        <f aca="false">IF('Grocery Purchases'!B45="","",'Grocery Purchases'!I45)</f>
        <v/>
      </c>
    </row>
    <row r="49" customFormat="false" ht="15" hidden="false" customHeight="true" outlineLevel="0" collapsed="false">
      <c r="A49" s="12" t="str">
        <f aca="false">IF('Grocery Purchases'!B46="","",'Grocery Purchases'!A46)</f>
        <v/>
      </c>
      <c r="B49" s="17" t="str">
        <f aca="false">IF('Grocery Purchases'!B46="","",'Grocery Purchases'!B46)</f>
        <v/>
      </c>
      <c r="C49" s="17" t="str">
        <f aca="false">IF('Grocery Purchases'!B46="","",'Grocery Purchases'!C46)</f>
        <v/>
      </c>
      <c r="D49" s="14" t="str">
        <f aca="false">IF('Grocery Purchases'!B46="","",'Grocery Purchases'!D46)</f>
        <v/>
      </c>
      <c r="E49" s="11" t="str">
        <f aca="false">IF('Grocery Purchases'!B46="","",'Grocery Purchases'!F46)</f>
        <v/>
      </c>
      <c r="F49" s="11" t="str">
        <f aca="false">IF('Grocery Purchases'!B46="","",'Grocery Purchases'!G46)</f>
        <v/>
      </c>
      <c r="G49" s="32" t="str">
        <f aca="false">IF('Grocery Purchases'!B46="","",'Grocery Purchases'!H46)</f>
        <v/>
      </c>
      <c r="H49" s="14" t="str">
        <f aca="false">IF('Grocery Purchases'!B46="","",'Grocery Purchases'!I46)</f>
        <v/>
      </c>
    </row>
    <row r="50" customFormat="false" ht="15" hidden="false" customHeight="true" outlineLevel="0" collapsed="false">
      <c r="A50" s="12" t="str">
        <f aca="false">IF('Grocery Purchases'!B47="","",'Grocery Purchases'!A47)</f>
        <v/>
      </c>
      <c r="B50" s="17" t="str">
        <f aca="false">IF('Grocery Purchases'!B47="","",'Grocery Purchases'!B47)</f>
        <v/>
      </c>
      <c r="C50" s="17" t="str">
        <f aca="false">IF('Grocery Purchases'!B47="","",'Grocery Purchases'!C47)</f>
        <v/>
      </c>
      <c r="D50" s="14" t="str">
        <f aca="false">IF('Grocery Purchases'!B47="","",'Grocery Purchases'!D47)</f>
        <v/>
      </c>
      <c r="E50" s="11" t="str">
        <f aca="false">IF('Grocery Purchases'!B47="","",'Grocery Purchases'!F47)</f>
        <v/>
      </c>
      <c r="F50" s="11" t="str">
        <f aca="false">IF('Grocery Purchases'!B47="","",'Grocery Purchases'!G47)</f>
        <v/>
      </c>
      <c r="G50" s="32" t="str">
        <f aca="false">IF('Grocery Purchases'!B47="","",'Grocery Purchases'!H47)</f>
        <v/>
      </c>
      <c r="H50" s="14" t="str">
        <f aca="false">IF('Grocery Purchases'!B47="","",'Grocery Purchases'!I47)</f>
        <v/>
      </c>
    </row>
    <row r="51" customFormat="false" ht="15" hidden="false" customHeight="true" outlineLevel="0" collapsed="false">
      <c r="A51" s="12" t="str">
        <f aca="false">IF('Grocery Purchases'!B48="","",'Grocery Purchases'!A48)</f>
        <v/>
      </c>
      <c r="B51" s="17" t="str">
        <f aca="false">IF('Grocery Purchases'!B48="","",'Grocery Purchases'!B48)</f>
        <v/>
      </c>
      <c r="C51" s="17" t="str">
        <f aca="false">IF('Grocery Purchases'!B48="","",'Grocery Purchases'!C48)</f>
        <v/>
      </c>
      <c r="D51" s="14" t="str">
        <f aca="false">IF('Grocery Purchases'!B48="","",'Grocery Purchases'!D48)</f>
        <v/>
      </c>
      <c r="E51" s="11" t="str">
        <f aca="false">IF('Grocery Purchases'!B48="","",'Grocery Purchases'!F48)</f>
        <v/>
      </c>
      <c r="F51" s="11" t="str">
        <f aca="false">IF('Grocery Purchases'!B48="","",'Grocery Purchases'!G48)</f>
        <v/>
      </c>
      <c r="G51" s="32" t="str">
        <f aca="false">IF('Grocery Purchases'!B48="","",'Grocery Purchases'!H48)</f>
        <v/>
      </c>
      <c r="H51" s="14" t="str">
        <f aca="false">IF('Grocery Purchases'!B48="","",'Grocery Purchases'!I48)</f>
        <v/>
      </c>
    </row>
    <row r="52" customFormat="false" ht="15" hidden="false" customHeight="true" outlineLevel="0" collapsed="false">
      <c r="A52" s="12" t="str">
        <f aca="false">IF('Grocery Purchases'!B49="","",'Grocery Purchases'!A49)</f>
        <v/>
      </c>
      <c r="B52" s="17" t="str">
        <f aca="false">IF('Grocery Purchases'!B49="","",'Grocery Purchases'!B49)</f>
        <v/>
      </c>
      <c r="C52" s="17" t="str">
        <f aca="false">IF('Grocery Purchases'!B49="","",'Grocery Purchases'!C49)</f>
        <v/>
      </c>
      <c r="D52" s="14" t="str">
        <f aca="false">IF('Grocery Purchases'!B49="","",'Grocery Purchases'!D49)</f>
        <v/>
      </c>
      <c r="E52" s="11" t="str">
        <f aca="false">IF('Grocery Purchases'!B49="","",'Grocery Purchases'!F49)</f>
        <v/>
      </c>
      <c r="F52" s="11" t="str">
        <f aca="false">IF('Grocery Purchases'!B49="","",'Grocery Purchases'!G49)</f>
        <v/>
      </c>
      <c r="G52" s="32" t="str">
        <f aca="false">IF('Grocery Purchases'!B49="","",'Grocery Purchases'!H49)</f>
        <v/>
      </c>
      <c r="H52" s="14" t="str">
        <f aca="false">IF('Grocery Purchases'!B49="","",'Grocery Purchases'!I49)</f>
        <v/>
      </c>
    </row>
    <row r="53" customFormat="false" ht="15" hidden="false" customHeight="true" outlineLevel="0" collapsed="false">
      <c r="A53" s="12" t="str">
        <f aca="false">IF('Grocery Purchases'!B50="","",'Grocery Purchases'!A50)</f>
        <v/>
      </c>
      <c r="B53" s="17" t="str">
        <f aca="false">IF('Grocery Purchases'!B50="","",'Grocery Purchases'!B50)</f>
        <v/>
      </c>
      <c r="C53" s="17" t="str">
        <f aca="false">IF('Grocery Purchases'!B50="","",'Grocery Purchases'!C50)</f>
        <v/>
      </c>
      <c r="D53" s="14" t="str">
        <f aca="false">IF('Grocery Purchases'!B50="","",'Grocery Purchases'!D50)</f>
        <v/>
      </c>
      <c r="E53" s="11" t="str">
        <f aca="false">IF('Grocery Purchases'!B50="","",'Grocery Purchases'!F50)</f>
        <v/>
      </c>
      <c r="F53" s="11" t="str">
        <f aca="false">IF('Grocery Purchases'!B50="","",'Grocery Purchases'!G50)</f>
        <v/>
      </c>
      <c r="G53" s="32" t="str">
        <f aca="false">IF('Grocery Purchases'!B50="","",'Grocery Purchases'!H50)</f>
        <v/>
      </c>
      <c r="H53" s="14" t="str">
        <f aca="false">IF('Grocery Purchases'!B50="","",'Grocery Purchases'!I50)</f>
        <v/>
      </c>
    </row>
    <row r="54" customFormat="false" ht="15" hidden="false" customHeight="true" outlineLevel="0" collapsed="false">
      <c r="A54" s="12" t="str">
        <f aca="false">IF('Grocery Purchases'!B51="","",'Grocery Purchases'!A51)</f>
        <v/>
      </c>
      <c r="B54" s="17" t="str">
        <f aca="false">IF('Grocery Purchases'!B51="","",'Grocery Purchases'!B51)</f>
        <v/>
      </c>
      <c r="C54" s="17" t="str">
        <f aca="false">IF('Grocery Purchases'!B51="","",'Grocery Purchases'!C51)</f>
        <v/>
      </c>
      <c r="D54" s="14" t="str">
        <f aca="false">IF('Grocery Purchases'!B51="","",'Grocery Purchases'!D51)</f>
        <v/>
      </c>
      <c r="E54" s="11" t="str">
        <f aca="false">IF('Grocery Purchases'!B51="","",'Grocery Purchases'!F51)</f>
        <v/>
      </c>
      <c r="F54" s="11" t="str">
        <f aca="false">IF('Grocery Purchases'!B51="","",'Grocery Purchases'!G51)</f>
        <v/>
      </c>
      <c r="G54" s="32" t="str">
        <f aca="false">IF('Grocery Purchases'!B51="","",'Grocery Purchases'!H51)</f>
        <v/>
      </c>
      <c r="H54" s="14" t="str">
        <f aca="false">IF('Grocery Purchases'!B51="","",'Grocery Purchases'!I51)</f>
        <v/>
      </c>
    </row>
    <row r="55" customFormat="false" ht="15" hidden="false" customHeight="true" outlineLevel="0" collapsed="false">
      <c r="A55" s="12" t="str">
        <f aca="false">IF('Grocery Purchases'!B52="","",'Grocery Purchases'!A52)</f>
        <v/>
      </c>
      <c r="B55" s="17" t="str">
        <f aca="false">IF('Grocery Purchases'!B52="","",'Grocery Purchases'!B52)</f>
        <v/>
      </c>
      <c r="C55" s="17" t="str">
        <f aca="false">IF('Grocery Purchases'!B52="","",'Grocery Purchases'!C52)</f>
        <v/>
      </c>
      <c r="D55" s="14" t="str">
        <f aca="false">IF('Grocery Purchases'!B52="","",'Grocery Purchases'!D52)</f>
        <v/>
      </c>
      <c r="E55" s="11" t="str">
        <f aca="false">IF('Grocery Purchases'!B52="","",'Grocery Purchases'!F52)</f>
        <v/>
      </c>
      <c r="F55" s="11" t="str">
        <f aca="false">IF('Grocery Purchases'!B52="","",'Grocery Purchases'!G52)</f>
        <v/>
      </c>
      <c r="G55" s="32" t="str">
        <f aca="false">IF('Grocery Purchases'!B52="","",'Grocery Purchases'!H52)</f>
        <v/>
      </c>
      <c r="H55" s="14" t="str">
        <f aca="false">IF('Grocery Purchases'!B52="","",'Grocery Purchases'!I52)</f>
        <v/>
      </c>
    </row>
    <row r="56" customFormat="false" ht="15" hidden="false" customHeight="true" outlineLevel="0" collapsed="false">
      <c r="A56" s="12" t="str">
        <f aca="false">IF('Grocery Purchases'!B53="","",'Grocery Purchases'!A53)</f>
        <v/>
      </c>
      <c r="B56" s="17" t="str">
        <f aca="false">IF('Grocery Purchases'!B53="","",'Grocery Purchases'!B53)</f>
        <v/>
      </c>
      <c r="C56" s="17" t="str">
        <f aca="false">IF('Grocery Purchases'!B53="","",'Grocery Purchases'!C53)</f>
        <v/>
      </c>
      <c r="D56" s="14" t="str">
        <f aca="false">IF('Grocery Purchases'!B53="","",'Grocery Purchases'!D53)</f>
        <v/>
      </c>
      <c r="E56" s="11" t="str">
        <f aca="false">IF('Grocery Purchases'!B53="","",'Grocery Purchases'!F53)</f>
        <v/>
      </c>
      <c r="F56" s="11" t="str">
        <f aca="false">IF('Grocery Purchases'!B53="","",'Grocery Purchases'!G53)</f>
        <v/>
      </c>
      <c r="G56" s="32" t="str">
        <f aca="false">IF('Grocery Purchases'!B53="","",'Grocery Purchases'!H53)</f>
        <v/>
      </c>
      <c r="H56" s="14" t="str">
        <f aca="false">IF('Grocery Purchases'!B53="","",'Grocery Purchases'!I53)</f>
        <v/>
      </c>
    </row>
    <row r="57" customFormat="false" ht="15" hidden="false" customHeight="true" outlineLevel="0" collapsed="false">
      <c r="A57" s="12" t="str">
        <f aca="false">IF('Grocery Purchases'!B54="","",'Grocery Purchases'!A54)</f>
        <v/>
      </c>
      <c r="B57" s="17" t="str">
        <f aca="false">IF('Grocery Purchases'!B54="","",'Grocery Purchases'!B54)</f>
        <v/>
      </c>
      <c r="C57" s="17" t="str">
        <f aca="false">IF('Grocery Purchases'!B54="","",'Grocery Purchases'!C54)</f>
        <v/>
      </c>
      <c r="D57" s="14" t="str">
        <f aca="false">IF('Grocery Purchases'!B54="","",'Grocery Purchases'!D54)</f>
        <v/>
      </c>
      <c r="E57" s="11" t="str">
        <f aca="false">IF('Grocery Purchases'!B54="","",'Grocery Purchases'!F54)</f>
        <v/>
      </c>
      <c r="F57" s="11" t="str">
        <f aca="false">IF('Grocery Purchases'!B54="","",'Grocery Purchases'!G54)</f>
        <v/>
      </c>
      <c r="G57" s="32" t="str">
        <f aca="false">IF('Grocery Purchases'!B54="","",'Grocery Purchases'!H54)</f>
        <v/>
      </c>
      <c r="H57" s="14" t="str">
        <f aca="false">IF('Grocery Purchases'!B54="","",'Grocery Purchases'!I54)</f>
        <v/>
      </c>
    </row>
    <row r="58" customFormat="false" ht="15" hidden="false" customHeight="true" outlineLevel="0" collapsed="false">
      <c r="A58" s="12" t="str">
        <f aca="false">IF('Grocery Purchases'!B55="","",'Grocery Purchases'!A55)</f>
        <v/>
      </c>
      <c r="B58" s="17" t="str">
        <f aca="false">IF('Grocery Purchases'!B55="","",'Grocery Purchases'!B55)</f>
        <v/>
      </c>
      <c r="C58" s="17" t="str">
        <f aca="false">IF('Grocery Purchases'!B55="","",'Grocery Purchases'!C55)</f>
        <v/>
      </c>
      <c r="D58" s="14" t="str">
        <f aca="false">IF('Grocery Purchases'!B55="","",'Grocery Purchases'!D55)</f>
        <v/>
      </c>
      <c r="E58" s="11" t="str">
        <f aca="false">IF('Grocery Purchases'!B55="","",'Grocery Purchases'!F55)</f>
        <v/>
      </c>
      <c r="F58" s="11" t="str">
        <f aca="false">IF('Grocery Purchases'!B55="","",'Grocery Purchases'!G55)</f>
        <v/>
      </c>
      <c r="G58" s="32" t="str">
        <f aca="false">IF('Grocery Purchases'!B55="","",'Grocery Purchases'!H55)</f>
        <v/>
      </c>
      <c r="H58" s="14" t="str">
        <f aca="false">IF('Grocery Purchases'!B55="","",'Grocery Purchases'!I55)</f>
        <v/>
      </c>
    </row>
    <row r="59" customFormat="false" ht="15" hidden="false" customHeight="true" outlineLevel="0" collapsed="false">
      <c r="A59" s="12" t="str">
        <f aca="false">IF('Grocery Purchases'!B56="","",'Grocery Purchases'!A56)</f>
        <v/>
      </c>
      <c r="B59" s="17" t="str">
        <f aca="false">IF('Grocery Purchases'!B56="","",'Grocery Purchases'!B56)</f>
        <v/>
      </c>
      <c r="C59" s="17" t="str">
        <f aca="false">IF('Grocery Purchases'!B56="","",'Grocery Purchases'!C56)</f>
        <v/>
      </c>
      <c r="D59" s="14" t="str">
        <f aca="false">IF('Grocery Purchases'!B56="","",'Grocery Purchases'!D56)</f>
        <v/>
      </c>
      <c r="E59" s="11" t="str">
        <f aca="false">IF('Grocery Purchases'!B56="","",'Grocery Purchases'!F56)</f>
        <v/>
      </c>
      <c r="F59" s="11" t="str">
        <f aca="false">IF('Grocery Purchases'!B56="","",'Grocery Purchases'!G56)</f>
        <v/>
      </c>
      <c r="G59" s="32" t="str">
        <f aca="false">IF('Grocery Purchases'!B56="","",'Grocery Purchases'!H56)</f>
        <v/>
      </c>
      <c r="H59" s="14" t="str">
        <f aca="false">IF('Grocery Purchases'!B56="","",'Grocery Purchases'!I56)</f>
        <v/>
      </c>
    </row>
    <row r="60" customFormat="false" ht="15" hidden="false" customHeight="true" outlineLevel="0" collapsed="false">
      <c r="A60" s="12" t="str">
        <f aca="false">IF('Grocery Purchases'!B57="","",'Grocery Purchases'!A57)</f>
        <v/>
      </c>
      <c r="B60" s="17" t="str">
        <f aca="false">IF('Grocery Purchases'!B57="","",'Grocery Purchases'!B57)</f>
        <v/>
      </c>
      <c r="C60" s="17" t="str">
        <f aca="false">IF('Grocery Purchases'!B57="","",'Grocery Purchases'!C57)</f>
        <v/>
      </c>
      <c r="D60" s="14" t="str">
        <f aca="false">IF('Grocery Purchases'!B57="","",'Grocery Purchases'!D57)</f>
        <v/>
      </c>
      <c r="E60" s="11" t="str">
        <f aca="false">IF('Grocery Purchases'!B57="","",'Grocery Purchases'!F57)</f>
        <v/>
      </c>
      <c r="F60" s="11" t="str">
        <f aca="false">IF('Grocery Purchases'!B57="","",'Grocery Purchases'!G57)</f>
        <v/>
      </c>
      <c r="G60" s="32" t="str">
        <f aca="false">IF('Grocery Purchases'!B57="","",'Grocery Purchases'!H57)</f>
        <v/>
      </c>
      <c r="H60" s="14" t="str">
        <f aca="false">IF('Grocery Purchases'!B57="","",'Grocery Purchases'!I57)</f>
        <v/>
      </c>
    </row>
    <row r="61" customFormat="false" ht="15" hidden="false" customHeight="true" outlineLevel="0" collapsed="false">
      <c r="A61" s="12" t="str">
        <f aca="false">IF('Grocery Purchases'!B58="","",'Grocery Purchases'!A58)</f>
        <v/>
      </c>
      <c r="B61" s="17" t="str">
        <f aca="false">IF('Grocery Purchases'!B58="","",'Grocery Purchases'!B58)</f>
        <v/>
      </c>
      <c r="C61" s="17" t="str">
        <f aca="false">IF('Grocery Purchases'!B58="","",'Grocery Purchases'!C58)</f>
        <v/>
      </c>
      <c r="D61" s="14" t="str">
        <f aca="false">IF('Grocery Purchases'!B58="","",'Grocery Purchases'!D58)</f>
        <v/>
      </c>
      <c r="E61" s="11" t="str">
        <f aca="false">IF('Grocery Purchases'!B58="","",'Grocery Purchases'!F58)</f>
        <v/>
      </c>
      <c r="F61" s="11" t="str">
        <f aca="false">IF('Grocery Purchases'!B58="","",'Grocery Purchases'!G58)</f>
        <v/>
      </c>
      <c r="G61" s="32" t="str">
        <f aca="false">IF('Grocery Purchases'!B58="","",'Grocery Purchases'!H58)</f>
        <v/>
      </c>
      <c r="H61" s="14" t="str">
        <f aca="false">IF('Grocery Purchases'!B58="","",'Grocery Purchases'!I58)</f>
        <v/>
      </c>
    </row>
    <row r="62" customFormat="false" ht="15" hidden="false" customHeight="true" outlineLevel="0" collapsed="false">
      <c r="A62" s="12" t="str">
        <f aca="false">IF('Grocery Purchases'!B59="","",'Grocery Purchases'!A59)</f>
        <v/>
      </c>
      <c r="B62" s="17" t="str">
        <f aca="false">IF('Grocery Purchases'!B59="","",'Grocery Purchases'!B59)</f>
        <v/>
      </c>
      <c r="C62" s="17" t="str">
        <f aca="false">IF('Grocery Purchases'!B59="","",'Grocery Purchases'!C59)</f>
        <v/>
      </c>
      <c r="D62" s="14" t="str">
        <f aca="false">IF('Grocery Purchases'!B59="","",'Grocery Purchases'!D59)</f>
        <v/>
      </c>
      <c r="E62" s="11" t="str">
        <f aca="false">IF('Grocery Purchases'!B59="","",'Grocery Purchases'!F59)</f>
        <v/>
      </c>
      <c r="F62" s="11" t="str">
        <f aca="false">IF('Grocery Purchases'!B59="","",'Grocery Purchases'!G59)</f>
        <v/>
      </c>
      <c r="G62" s="32" t="str">
        <f aca="false">IF('Grocery Purchases'!B59="","",'Grocery Purchases'!H59)</f>
        <v/>
      </c>
      <c r="H62" s="14" t="str">
        <f aca="false">IF('Grocery Purchases'!B59="","",'Grocery Purchases'!I59)</f>
        <v/>
      </c>
    </row>
    <row r="63" customFormat="false" ht="15" hidden="false" customHeight="true" outlineLevel="0" collapsed="false">
      <c r="A63" s="12" t="str">
        <f aca="false">IF('Grocery Purchases'!B60="","",'Grocery Purchases'!A60)</f>
        <v/>
      </c>
      <c r="B63" s="17" t="str">
        <f aca="false">IF('Grocery Purchases'!B60="","",'Grocery Purchases'!B60)</f>
        <v/>
      </c>
      <c r="C63" s="17" t="str">
        <f aca="false">IF('Grocery Purchases'!B60="","",'Grocery Purchases'!C60)</f>
        <v/>
      </c>
      <c r="D63" s="14" t="str">
        <f aca="false">IF('Grocery Purchases'!B60="","",'Grocery Purchases'!D60)</f>
        <v/>
      </c>
      <c r="E63" s="11" t="str">
        <f aca="false">IF('Grocery Purchases'!B60="","",'Grocery Purchases'!F60)</f>
        <v/>
      </c>
      <c r="F63" s="11" t="str">
        <f aca="false">IF('Grocery Purchases'!B60="","",'Grocery Purchases'!G60)</f>
        <v/>
      </c>
      <c r="G63" s="32" t="str">
        <f aca="false">IF('Grocery Purchases'!B60="","",'Grocery Purchases'!H60)</f>
        <v/>
      </c>
      <c r="H63" s="14" t="str">
        <f aca="false">IF('Grocery Purchases'!B60="","",'Grocery Purchases'!I60)</f>
        <v/>
      </c>
    </row>
    <row r="64" customFormat="false" ht="15" hidden="false" customHeight="true" outlineLevel="0" collapsed="false">
      <c r="A64" s="12" t="str">
        <f aca="false">IF('Grocery Purchases'!B61="","",'Grocery Purchases'!A61)</f>
        <v/>
      </c>
      <c r="B64" s="17" t="str">
        <f aca="false">IF('Grocery Purchases'!B61="","",'Grocery Purchases'!B61)</f>
        <v/>
      </c>
      <c r="C64" s="17" t="str">
        <f aca="false">IF('Grocery Purchases'!B61="","",'Grocery Purchases'!C61)</f>
        <v/>
      </c>
      <c r="D64" s="14" t="str">
        <f aca="false">IF('Grocery Purchases'!B61="","",'Grocery Purchases'!D61)</f>
        <v/>
      </c>
      <c r="E64" s="11" t="str">
        <f aca="false">IF('Grocery Purchases'!B61="","",'Grocery Purchases'!F61)</f>
        <v/>
      </c>
      <c r="F64" s="11" t="str">
        <f aca="false">IF('Grocery Purchases'!B61="","",'Grocery Purchases'!G61)</f>
        <v/>
      </c>
      <c r="G64" s="32" t="str">
        <f aca="false">IF('Grocery Purchases'!B61="","",'Grocery Purchases'!H61)</f>
        <v/>
      </c>
      <c r="H64" s="14" t="str">
        <f aca="false">IF('Grocery Purchases'!B61="","",'Grocery Purchases'!I61)</f>
        <v/>
      </c>
    </row>
    <row r="65" customFormat="false" ht="15" hidden="false" customHeight="true" outlineLevel="0" collapsed="false">
      <c r="A65" s="12" t="str">
        <f aca="false">IF('Grocery Purchases'!B62="","",'Grocery Purchases'!A62)</f>
        <v/>
      </c>
      <c r="B65" s="17" t="str">
        <f aca="false">IF('Grocery Purchases'!B62="","",'Grocery Purchases'!B62)</f>
        <v/>
      </c>
      <c r="C65" s="17" t="str">
        <f aca="false">IF('Grocery Purchases'!B62="","",'Grocery Purchases'!C62)</f>
        <v/>
      </c>
      <c r="D65" s="14" t="str">
        <f aca="false">IF('Grocery Purchases'!B62="","",'Grocery Purchases'!D62)</f>
        <v/>
      </c>
      <c r="E65" s="11" t="str">
        <f aca="false">IF('Grocery Purchases'!B62="","",'Grocery Purchases'!F62)</f>
        <v/>
      </c>
      <c r="F65" s="11" t="str">
        <f aca="false">IF('Grocery Purchases'!B62="","",'Grocery Purchases'!G62)</f>
        <v/>
      </c>
      <c r="G65" s="32" t="str">
        <f aca="false">IF('Grocery Purchases'!B62="","",'Grocery Purchases'!H62)</f>
        <v/>
      </c>
      <c r="H65" s="14" t="str">
        <f aca="false">IF('Grocery Purchases'!B62="","",'Grocery Purchases'!I62)</f>
        <v/>
      </c>
    </row>
    <row r="66" customFormat="false" ht="15" hidden="false" customHeight="true" outlineLevel="0" collapsed="false">
      <c r="A66" s="12" t="str">
        <f aca="false">IF('Grocery Purchases'!B63="","",'Grocery Purchases'!A63)</f>
        <v/>
      </c>
      <c r="B66" s="17" t="str">
        <f aca="false">IF('Grocery Purchases'!B63="","",'Grocery Purchases'!B63)</f>
        <v/>
      </c>
      <c r="C66" s="17" t="str">
        <f aca="false">IF('Grocery Purchases'!B63="","",'Grocery Purchases'!C63)</f>
        <v/>
      </c>
      <c r="D66" s="14" t="str">
        <f aca="false">IF('Grocery Purchases'!B63="","",'Grocery Purchases'!D63)</f>
        <v/>
      </c>
      <c r="E66" s="11" t="str">
        <f aca="false">IF('Grocery Purchases'!B63="","",'Grocery Purchases'!F63)</f>
        <v/>
      </c>
      <c r="F66" s="11" t="str">
        <f aca="false">IF('Grocery Purchases'!B63="","",'Grocery Purchases'!G63)</f>
        <v/>
      </c>
      <c r="G66" s="32" t="str">
        <f aca="false">IF('Grocery Purchases'!B63="","",'Grocery Purchases'!H63)</f>
        <v/>
      </c>
      <c r="H66" s="14" t="str">
        <f aca="false">IF('Grocery Purchases'!B63="","",'Grocery Purchases'!I63)</f>
        <v/>
      </c>
    </row>
    <row r="67" customFormat="false" ht="15" hidden="false" customHeight="true" outlineLevel="0" collapsed="false">
      <c r="A67" s="12" t="str">
        <f aca="false">IF('Grocery Purchases'!B64="","",'Grocery Purchases'!A64)</f>
        <v/>
      </c>
      <c r="B67" s="17" t="str">
        <f aca="false">IF('Grocery Purchases'!B64="","",'Grocery Purchases'!B64)</f>
        <v/>
      </c>
      <c r="C67" s="17" t="str">
        <f aca="false">IF('Grocery Purchases'!B64="","",'Grocery Purchases'!C64)</f>
        <v/>
      </c>
      <c r="D67" s="14" t="str">
        <f aca="false">IF('Grocery Purchases'!B64="","",'Grocery Purchases'!D64)</f>
        <v/>
      </c>
      <c r="E67" s="11" t="str">
        <f aca="false">IF('Grocery Purchases'!B64="","",'Grocery Purchases'!F64)</f>
        <v/>
      </c>
      <c r="F67" s="11" t="str">
        <f aca="false">IF('Grocery Purchases'!B64="","",'Grocery Purchases'!G64)</f>
        <v/>
      </c>
      <c r="G67" s="32" t="str">
        <f aca="false">IF('Grocery Purchases'!B64="","",'Grocery Purchases'!H64)</f>
        <v/>
      </c>
      <c r="H67" s="14" t="str">
        <f aca="false">IF('Grocery Purchases'!B64="","",'Grocery Purchases'!I64)</f>
        <v/>
      </c>
    </row>
    <row r="68" customFormat="false" ht="15" hidden="false" customHeight="true" outlineLevel="0" collapsed="false">
      <c r="A68" s="12" t="str">
        <f aca="false">IF('Grocery Purchases'!B65="","",'Grocery Purchases'!A65)</f>
        <v/>
      </c>
      <c r="B68" s="17" t="str">
        <f aca="false">IF('Grocery Purchases'!B65="","",'Grocery Purchases'!B65)</f>
        <v/>
      </c>
      <c r="C68" s="17" t="str">
        <f aca="false">IF('Grocery Purchases'!B65="","",'Grocery Purchases'!C65)</f>
        <v/>
      </c>
      <c r="D68" s="14" t="str">
        <f aca="false">IF('Grocery Purchases'!B65="","",'Grocery Purchases'!D65)</f>
        <v/>
      </c>
      <c r="E68" s="11" t="str">
        <f aca="false">IF('Grocery Purchases'!B65="","",'Grocery Purchases'!F65)</f>
        <v/>
      </c>
      <c r="F68" s="11" t="str">
        <f aca="false">IF('Grocery Purchases'!B65="","",'Grocery Purchases'!G65)</f>
        <v/>
      </c>
      <c r="G68" s="32" t="str">
        <f aca="false">IF('Grocery Purchases'!B65="","",'Grocery Purchases'!H65)</f>
        <v/>
      </c>
      <c r="H68" s="14" t="str">
        <f aca="false">IF('Grocery Purchases'!B65="","",'Grocery Purchases'!I65)</f>
        <v/>
      </c>
    </row>
    <row r="69" customFormat="false" ht="15" hidden="false" customHeight="true" outlineLevel="0" collapsed="false">
      <c r="A69" s="12" t="str">
        <f aca="false">IF('Grocery Purchases'!B66="","",'Grocery Purchases'!A66)</f>
        <v/>
      </c>
      <c r="B69" s="17" t="str">
        <f aca="false">IF('Grocery Purchases'!B66="","",'Grocery Purchases'!B66)</f>
        <v/>
      </c>
      <c r="C69" s="17" t="str">
        <f aca="false">IF('Grocery Purchases'!B66="","",'Grocery Purchases'!C66)</f>
        <v/>
      </c>
      <c r="D69" s="14" t="str">
        <f aca="false">IF('Grocery Purchases'!B66="","",'Grocery Purchases'!D66)</f>
        <v/>
      </c>
      <c r="E69" s="11" t="str">
        <f aca="false">IF('Grocery Purchases'!B66="","",'Grocery Purchases'!F66)</f>
        <v/>
      </c>
      <c r="F69" s="11" t="str">
        <f aca="false">IF('Grocery Purchases'!B66="","",'Grocery Purchases'!G66)</f>
        <v/>
      </c>
      <c r="G69" s="32" t="str">
        <f aca="false">IF('Grocery Purchases'!B66="","",'Grocery Purchases'!H66)</f>
        <v/>
      </c>
      <c r="H69" s="14" t="str">
        <f aca="false">IF('Grocery Purchases'!B66="","",'Grocery Purchases'!I66)</f>
        <v/>
      </c>
    </row>
    <row r="70" customFormat="false" ht="15" hidden="false" customHeight="true" outlineLevel="0" collapsed="false">
      <c r="A70" s="12" t="str">
        <f aca="false">IF('Grocery Purchases'!B67="","",'Grocery Purchases'!A67)</f>
        <v/>
      </c>
      <c r="B70" s="17" t="str">
        <f aca="false">IF('Grocery Purchases'!B67="","",'Grocery Purchases'!B67)</f>
        <v/>
      </c>
      <c r="C70" s="17" t="str">
        <f aca="false">IF('Grocery Purchases'!B67="","",'Grocery Purchases'!C67)</f>
        <v/>
      </c>
      <c r="D70" s="14" t="str">
        <f aca="false">IF('Grocery Purchases'!B67="","",'Grocery Purchases'!D67)</f>
        <v/>
      </c>
      <c r="E70" s="11" t="str">
        <f aca="false">IF('Grocery Purchases'!B67="","",'Grocery Purchases'!F67)</f>
        <v/>
      </c>
      <c r="F70" s="11" t="str">
        <f aca="false">IF('Grocery Purchases'!B67="","",'Grocery Purchases'!G67)</f>
        <v/>
      </c>
      <c r="G70" s="32" t="str">
        <f aca="false">IF('Grocery Purchases'!B67="","",'Grocery Purchases'!H67)</f>
        <v/>
      </c>
      <c r="H70" s="14" t="str">
        <f aca="false">IF('Grocery Purchases'!B67="","",'Grocery Purchases'!I67)</f>
        <v/>
      </c>
    </row>
    <row r="71" customFormat="false" ht="15" hidden="false" customHeight="true" outlineLevel="0" collapsed="false">
      <c r="A71" s="12" t="str">
        <f aca="false">IF('Grocery Purchases'!B68="","",'Grocery Purchases'!A68)</f>
        <v/>
      </c>
      <c r="B71" s="17" t="str">
        <f aca="false">IF('Grocery Purchases'!B68="","",'Grocery Purchases'!B68)</f>
        <v/>
      </c>
      <c r="C71" s="17" t="str">
        <f aca="false">IF('Grocery Purchases'!B68="","",'Grocery Purchases'!C68)</f>
        <v/>
      </c>
      <c r="D71" s="14" t="str">
        <f aca="false">IF('Grocery Purchases'!B68="","",'Grocery Purchases'!D68)</f>
        <v/>
      </c>
      <c r="E71" s="11" t="str">
        <f aca="false">IF('Grocery Purchases'!B68="","",'Grocery Purchases'!F68)</f>
        <v/>
      </c>
      <c r="F71" s="11" t="str">
        <f aca="false">IF('Grocery Purchases'!B68="","",'Grocery Purchases'!G68)</f>
        <v/>
      </c>
      <c r="G71" s="32" t="str">
        <f aca="false">IF('Grocery Purchases'!B68="","",'Grocery Purchases'!H68)</f>
        <v/>
      </c>
      <c r="H71" s="14" t="str">
        <f aca="false">IF('Grocery Purchases'!B68="","",'Grocery Purchases'!I68)</f>
        <v/>
      </c>
    </row>
    <row r="72" customFormat="false" ht="15" hidden="false" customHeight="true" outlineLevel="0" collapsed="false">
      <c r="A72" s="12" t="str">
        <f aca="false">IF('Grocery Purchases'!B69="","",'Grocery Purchases'!A69)</f>
        <v/>
      </c>
      <c r="B72" s="17" t="str">
        <f aca="false">IF('Grocery Purchases'!B69="","",'Grocery Purchases'!B69)</f>
        <v/>
      </c>
      <c r="C72" s="17" t="str">
        <f aca="false">IF('Grocery Purchases'!B69="","",'Grocery Purchases'!C69)</f>
        <v/>
      </c>
      <c r="D72" s="14" t="str">
        <f aca="false">IF('Grocery Purchases'!B69="","",'Grocery Purchases'!D69)</f>
        <v/>
      </c>
      <c r="E72" s="11" t="str">
        <f aca="false">IF('Grocery Purchases'!B69="","",'Grocery Purchases'!F69)</f>
        <v/>
      </c>
      <c r="F72" s="11" t="str">
        <f aca="false">IF('Grocery Purchases'!B69="","",'Grocery Purchases'!G69)</f>
        <v/>
      </c>
      <c r="G72" s="32" t="str">
        <f aca="false">IF('Grocery Purchases'!B69="","",'Grocery Purchases'!H69)</f>
        <v/>
      </c>
      <c r="H72" s="14" t="str">
        <f aca="false">IF('Grocery Purchases'!B69="","",'Grocery Purchases'!I69)</f>
        <v/>
      </c>
    </row>
    <row r="73" customFormat="false" ht="15" hidden="false" customHeight="true" outlineLevel="0" collapsed="false">
      <c r="A73" s="12" t="str">
        <f aca="false">IF('Grocery Purchases'!B70="","",'Grocery Purchases'!A70)</f>
        <v/>
      </c>
      <c r="B73" s="17" t="str">
        <f aca="false">IF('Grocery Purchases'!B70="","",'Grocery Purchases'!B70)</f>
        <v/>
      </c>
      <c r="C73" s="17" t="str">
        <f aca="false">IF('Grocery Purchases'!B70="","",'Grocery Purchases'!C70)</f>
        <v/>
      </c>
      <c r="D73" s="14" t="str">
        <f aca="false">IF('Grocery Purchases'!B70="","",'Grocery Purchases'!D70)</f>
        <v/>
      </c>
      <c r="E73" s="11" t="str">
        <f aca="false">IF('Grocery Purchases'!B70="","",'Grocery Purchases'!F70)</f>
        <v/>
      </c>
      <c r="F73" s="11" t="str">
        <f aca="false">IF('Grocery Purchases'!B70="","",'Grocery Purchases'!G70)</f>
        <v/>
      </c>
      <c r="G73" s="32" t="str">
        <f aca="false">IF('Grocery Purchases'!B70="","",'Grocery Purchases'!H70)</f>
        <v/>
      </c>
      <c r="H73" s="14" t="str">
        <f aca="false">IF('Grocery Purchases'!B70="","",'Grocery Purchases'!I70)</f>
        <v/>
      </c>
    </row>
    <row r="74" customFormat="false" ht="15" hidden="false" customHeight="true" outlineLevel="0" collapsed="false">
      <c r="A74" s="12" t="str">
        <f aca="false">IF('Grocery Purchases'!B71="","",'Grocery Purchases'!A71)</f>
        <v/>
      </c>
      <c r="B74" s="17" t="str">
        <f aca="false">IF('Grocery Purchases'!B71="","",'Grocery Purchases'!B71)</f>
        <v/>
      </c>
      <c r="C74" s="17" t="str">
        <f aca="false">IF('Grocery Purchases'!B71="","",'Grocery Purchases'!C71)</f>
        <v/>
      </c>
      <c r="D74" s="14" t="str">
        <f aca="false">IF('Grocery Purchases'!B71="","",'Grocery Purchases'!D71)</f>
        <v/>
      </c>
      <c r="E74" s="11" t="str">
        <f aca="false">IF('Grocery Purchases'!B71="","",'Grocery Purchases'!F71)</f>
        <v/>
      </c>
      <c r="F74" s="11" t="str">
        <f aca="false">IF('Grocery Purchases'!B71="","",'Grocery Purchases'!G71)</f>
        <v/>
      </c>
      <c r="G74" s="32" t="str">
        <f aca="false">IF('Grocery Purchases'!B71="","",'Grocery Purchases'!H71)</f>
        <v/>
      </c>
      <c r="H74" s="14" t="str">
        <f aca="false">IF('Grocery Purchases'!B71="","",'Grocery Purchases'!I71)</f>
        <v/>
      </c>
    </row>
    <row r="75" customFormat="false" ht="15" hidden="false" customHeight="true" outlineLevel="0" collapsed="false">
      <c r="A75" s="12" t="str">
        <f aca="false">IF('Grocery Purchases'!B72="","",'Grocery Purchases'!A72)</f>
        <v/>
      </c>
      <c r="B75" s="17" t="str">
        <f aca="false">IF('Grocery Purchases'!B72="","",'Grocery Purchases'!B72)</f>
        <v/>
      </c>
      <c r="C75" s="17" t="str">
        <f aca="false">IF('Grocery Purchases'!B72="","",'Grocery Purchases'!C72)</f>
        <v/>
      </c>
      <c r="D75" s="14" t="str">
        <f aca="false">IF('Grocery Purchases'!B72="","",'Grocery Purchases'!D72)</f>
        <v/>
      </c>
      <c r="E75" s="11" t="str">
        <f aca="false">IF('Grocery Purchases'!B72="","",'Grocery Purchases'!F72)</f>
        <v/>
      </c>
      <c r="F75" s="11" t="str">
        <f aca="false">IF('Grocery Purchases'!B72="","",'Grocery Purchases'!G72)</f>
        <v/>
      </c>
      <c r="G75" s="32" t="str">
        <f aca="false">IF('Grocery Purchases'!B72="","",'Grocery Purchases'!H72)</f>
        <v/>
      </c>
      <c r="H75" s="14" t="str">
        <f aca="false">IF('Grocery Purchases'!B72="","",'Grocery Purchases'!I72)</f>
        <v/>
      </c>
    </row>
    <row r="76" customFormat="false" ht="15" hidden="false" customHeight="true" outlineLevel="0" collapsed="false">
      <c r="A76" s="12" t="str">
        <f aca="false">IF('Grocery Purchases'!B73="","",'Grocery Purchases'!A73)</f>
        <v/>
      </c>
      <c r="B76" s="17" t="str">
        <f aca="false">IF('Grocery Purchases'!B73="","",'Grocery Purchases'!B73)</f>
        <v/>
      </c>
      <c r="C76" s="17" t="str">
        <f aca="false">IF('Grocery Purchases'!B73="","",'Grocery Purchases'!C73)</f>
        <v/>
      </c>
      <c r="D76" s="14" t="str">
        <f aca="false">IF('Grocery Purchases'!B73="","",'Grocery Purchases'!D73)</f>
        <v/>
      </c>
      <c r="E76" s="11" t="str">
        <f aca="false">IF('Grocery Purchases'!B73="","",'Grocery Purchases'!F73)</f>
        <v/>
      </c>
      <c r="F76" s="11" t="str">
        <f aca="false">IF('Grocery Purchases'!B73="","",'Grocery Purchases'!G73)</f>
        <v/>
      </c>
      <c r="G76" s="32" t="str">
        <f aca="false">IF('Grocery Purchases'!B73="","",'Grocery Purchases'!H73)</f>
        <v/>
      </c>
      <c r="H76" s="14" t="str">
        <f aca="false">IF('Grocery Purchases'!B73="","",'Grocery Purchases'!I73)</f>
        <v/>
      </c>
    </row>
    <row r="77" customFormat="false" ht="15" hidden="false" customHeight="true" outlineLevel="0" collapsed="false">
      <c r="A77" s="12" t="str">
        <f aca="false">IF('Grocery Purchases'!B74="","",'Grocery Purchases'!A74)</f>
        <v/>
      </c>
      <c r="B77" s="17" t="str">
        <f aca="false">IF('Grocery Purchases'!B74="","",'Grocery Purchases'!B74)</f>
        <v/>
      </c>
      <c r="C77" s="17" t="str">
        <f aca="false">IF('Grocery Purchases'!B74="","",'Grocery Purchases'!C74)</f>
        <v/>
      </c>
      <c r="D77" s="14" t="str">
        <f aca="false">IF('Grocery Purchases'!B74="","",'Grocery Purchases'!D74)</f>
        <v/>
      </c>
      <c r="E77" s="11" t="str">
        <f aca="false">IF('Grocery Purchases'!B74="","",'Grocery Purchases'!F74)</f>
        <v/>
      </c>
      <c r="F77" s="11" t="str">
        <f aca="false">IF('Grocery Purchases'!B74="","",'Grocery Purchases'!G74)</f>
        <v/>
      </c>
      <c r="G77" s="32" t="str">
        <f aca="false">IF('Grocery Purchases'!B74="","",'Grocery Purchases'!H74)</f>
        <v/>
      </c>
      <c r="H77" s="14" t="str">
        <f aca="false">IF('Grocery Purchases'!B74="","",'Grocery Purchases'!I74)</f>
        <v/>
      </c>
    </row>
    <row r="78" customFormat="false" ht="15" hidden="false" customHeight="true" outlineLevel="0" collapsed="false">
      <c r="A78" s="12" t="str">
        <f aca="false">IF('Grocery Purchases'!B75="","",'Grocery Purchases'!A75)</f>
        <v/>
      </c>
      <c r="B78" s="17" t="str">
        <f aca="false">IF('Grocery Purchases'!B75="","",'Grocery Purchases'!B75)</f>
        <v/>
      </c>
      <c r="C78" s="17" t="str">
        <f aca="false">IF('Grocery Purchases'!B75="","",'Grocery Purchases'!C75)</f>
        <v/>
      </c>
      <c r="D78" s="14" t="str">
        <f aca="false">IF('Grocery Purchases'!B75="","",'Grocery Purchases'!D75)</f>
        <v/>
      </c>
      <c r="E78" s="11" t="str">
        <f aca="false">IF('Grocery Purchases'!B75="","",'Grocery Purchases'!F75)</f>
        <v/>
      </c>
      <c r="F78" s="11" t="str">
        <f aca="false">IF('Grocery Purchases'!B75="","",'Grocery Purchases'!G75)</f>
        <v/>
      </c>
      <c r="G78" s="32" t="str">
        <f aca="false">IF('Grocery Purchases'!B75="","",'Grocery Purchases'!H75)</f>
        <v/>
      </c>
      <c r="H78" s="14" t="str">
        <f aca="false">IF('Grocery Purchases'!B75="","",'Grocery Purchases'!I75)</f>
        <v/>
      </c>
    </row>
    <row r="79" customFormat="false" ht="15" hidden="false" customHeight="true" outlineLevel="0" collapsed="false">
      <c r="A79" s="12" t="str">
        <f aca="false">IF('Grocery Purchases'!B76="","",'Grocery Purchases'!A76)</f>
        <v/>
      </c>
      <c r="B79" s="17" t="str">
        <f aca="false">IF('Grocery Purchases'!B76="","",'Grocery Purchases'!B76)</f>
        <v/>
      </c>
      <c r="C79" s="17" t="str">
        <f aca="false">IF('Grocery Purchases'!B76="","",'Grocery Purchases'!C76)</f>
        <v/>
      </c>
      <c r="D79" s="14" t="str">
        <f aca="false">IF('Grocery Purchases'!B76="","",'Grocery Purchases'!D76)</f>
        <v/>
      </c>
      <c r="E79" s="11" t="str">
        <f aca="false">IF('Grocery Purchases'!B76="","",'Grocery Purchases'!F76)</f>
        <v/>
      </c>
      <c r="F79" s="11" t="str">
        <f aca="false">IF('Grocery Purchases'!B76="","",'Grocery Purchases'!G76)</f>
        <v/>
      </c>
      <c r="G79" s="32" t="str">
        <f aca="false">IF('Grocery Purchases'!B76="","",'Grocery Purchases'!H76)</f>
        <v/>
      </c>
      <c r="H79" s="14" t="str">
        <f aca="false">IF('Grocery Purchases'!B76="","",'Grocery Purchases'!I76)</f>
        <v/>
      </c>
    </row>
    <row r="80" customFormat="false" ht="15" hidden="false" customHeight="true" outlineLevel="0" collapsed="false">
      <c r="A80" s="12" t="str">
        <f aca="false">IF('Grocery Purchases'!B77="","",'Grocery Purchases'!A77)</f>
        <v/>
      </c>
      <c r="B80" s="17" t="str">
        <f aca="false">IF('Grocery Purchases'!B77="","",'Grocery Purchases'!B77)</f>
        <v/>
      </c>
      <c r="C80" s="17" t="str">
        <f aca="false">IF('Grocery Purchases'!B77="","",'Grocery Purchases'!C77)</f>
        <v/>
      </c>
      <c r="D80" s="14" t="str">
        <f aca="false">IF('Grocery Purchases'!B77="","",'Grocery Purchases'!D77)</f>
        <v/>
      </c>
      <c r="E80" s="11" t="str">
        <f aca="false">IF('Grocery Purchases'!B77="","",'Grocery Purchases'!F77)</f>
        <v/>
      </c>
      <c r="F80" s="11" t="str">
        <f aca="false">IF('Grocery Purchases'!B77="","",'Grocery Purchases'!G77)</f>
        <v/>
      </c>
      <c r="G80" s="32" t="str">
        <f aca="false">IF('Grocery Purchases'!B77="","",'Grocery Purchases'!H77)</f>
        <v/>
      </c>
      <c r="H80" s="14" t="str">
        <f aca="false">IF('Grocery Purchases'!B77="","",'Grocery Purchases'!I77)</f>
        <v/>
      </c>
    </row>
    <row r="81" customFormat="false" ht="15" hidden="false" customHeight="true" outlineLevel="0" collapsed="false">
      <c r="A81" s="12" t="str">
        <f aca="false">IF('Grocery Purchases'!B78="","",'Grocery Purchases'!A78)</f>
        <v/>
      </c>
      <c r="B81" s="17" t="str">
        <f aca="false">IF('Grocery Purchases'!B78="","",'Grocery Purchases'!B78)</f>
        <v/>
      </c>
      <c r="C81" s="17" t="str">
        <f aca="false">IF('Grocery Purchases'!B78="","",'Grocery Purchases'!C78)</f>
        <v/>
      </c>
      <c r="D81" s="14" t="str">
        <f aca="false">IF('Grocery Purchases'!B78="","",'Grocery Purchases'!D78)</f>
        <v/>
      </c>
      <c r="E81" s="11" t="str">
        <f aca="false">IF('Grocery Purchases'!B78="","",'Grocery Purchases'!F78)</f>
        <v/>
      </c>
      <c r="F81" s="11" t="str">
        <f aca="false">IF('Grocery Purchases'!B78="","",'Grocery Purchases'!G78)</f>
        <v/>
      </c>
      <c r="G81" s="32" t="str">
        <f aca="false">IF('Grocery Purchases'!B78="","",'Grocery Purchases'!H78)</f>
        <v/>
      </c>
      <c r="H81" s="14" t="str">
        <f aca="false">IF('Grocery Purchases'!B78="","",'Grocery Purchases'!I78)</f>
        <v/>
      </c>
    </row>
    <row r="82" customFormat="false" ht="15" hidden="false" customHeight="true" outlineLevel="0" collapsed="false">
      <c r="A82" s="12" t="str">
        <f aca="false">IF('Grocery Purchases'!B79="","",'Grocery Purchases'!A79)</f>
        <v/>
      </c>
      <c r="B82" s="17" t="str">
        <f aca="false">IF('Grocery Purchases'!B79="","",'Grocery Purchases'!B79)</f>
        <v/>
      </c>
      <c r="C82" s="17" t="str">
        <f aca="false">IF('Grocery Purchases'!B79="","",'Grocery Purchases'!C79)</f>
        <v/>
      </c>
      <c r="D82" s="14" t="str">
        <f aca="false">IF('Grocery Purchases'!B79="","",'Grocery Purchases'!D79)</f>
        <v/>
      </c>
      <c r="E82" s="11" t="str">
        <f aca="false">IF('Grocery Purchases'!B79="","",'Grocery Purchases'!F79)</f>
        <v/>
      </c>
      <c r="F82" s="11" t="str">
        <f aca="false">IF('Grocery Purchases'!B79="","",'Grocery Purchases'!G79)</f>
        <v/>
      </c>
      <c r="G82" s="32" t="str">
        <f aca="false">IF('Grocery Purchases'!B79="","",'Grocery Purchases'!H79)</f>
        <v/>
      </c>
      <c r="H82" s="14" t="str">
        <f aca="false">IF('Grocery Purchases'!B79="","",'Grocery Purchases'!I79)</f>
        <v/>
      </c>
    </row>
    <row r="83" customFormat="false" ht="15" hidden="false" customHeight="true" outlineLevel="0" collapsed="false">
      <c r="A83" s="12" t="str">
        <f aca="false">IF('Grocery Purchases'!B80="","",'Grocery Purchases'!A80)</f>
        <v/>
      </c>
      <c r="B83" s="17" t="str">
        <f aca="false">IF('Grocery Purchases'!B80="","",'Grocery Purchases'!B80)</f>
        <v/>
      </c>
      <c r="C83" s="17" t="str">
        <f aca="false">IF('Grocery Purchases'!B80="","",'Grocery Purchases'!C80)</f>
        <v/>
      </c>
      <c r="D83" s="14" t="str">
        <f aca="false">IF('Grocery Purchases'!B80="","",'Grocery Purchases'!D80)</f>
        <v/>
      </c>
      <c r="E83" s="11" t="str">
        <f aca="false">IF('Grocery Purchases'!B80="","",'Grocery Purchases'!F80)</f>
        <v/>
      </c>
      <c r="F83" s="11" t="str">
        <f aca="false">IF('Grocery Purchases'!B80="","",'Grocery Purchases'!G80)</f>
        <v/>
      </c>
      <c r="G83" s="32" t="str">
        <f aca="false">IF('Grocery Purchases'!B80="","",'Grocery Purchases'!H80)</f>
        <v/>
      </c>
      <c r="H83" s="14" t="str">
        <f aca="false">IF('Grocery Purchases'!B80="","",'Grocery Purchases'!I80)</f>
        <v/>
      </c>
    </row>
    <row r="84" customFormat="false" ht="15" hidden="false" customHeight="true" outlineLevel="0" collapsed="false">
      <c r="A84" s="12" t="str">
        <f aca="false">IF('Grocery Purchases'!B81="","",'Grocery Purchases'!A81)</f>
        <v/>
      </c>
      <c r="B84" s="17" t="str">
        <f aca="false">IF('Grocery Purchases'!B81="","",'Grocery Purchases'!B81)</f>
        <v/>
      </c>
      <c r="C84" s="17" t="str">
        <f aca="false">IF('Grocery Purchases'!B81="","",'Grocery Purchases'!C81)</f>
        <v/>
      </c>
      <c r="D84" s="14" t="str">
        <f aca="false">IF('Grocery Purchases'!B81="","",'Grocery Purchases'!D81)</f>
        <v/>
      </c>
      <c r="E84" s="11" t="str">
        <f aca="false">IF('Grocery Purchases'!B81="","",'Grocery Purchases'!F81)</f>
        <v/>
      </c>
      <c r="F84" s="11" t="str">
        <f aca="false">IF('Grocery Purchases'!B81="","",'Grocery Purchases'!G81)</f>
        <v/>
      </c>
      <c r="G84" s="32" t="str">
        <f aca="false">IF('Grocery Purchases'!B81="","",'Grocery Purchases'!H81)</f>
        <v/>
      </c>
      <c r="H84" s="14" t="str">
        <f aca="false">IF('Grocery Purchases'!B81="","",'Grocery Purchases'!I81)</f>
        <v/>
      </c>
    </row>
    <row r="85" customFormat="false" ht="15" hidden="false" customHeight="true" outlineLevel="0" collapsed="false">
      <c r="A85" s="12" t="str">
        <f aca="false">IF('Grocery Purchases'!B82="","",'Grocery Purchases'!A82)</f>
        <v/>
      </c>
      <c r="B85" s="17" t="str">
        <f aca="false">IF('Grocery Purchases'!B82="","",'Grocery Purchases'!B82)</f>
        <v/>
      </c>
      <c r="C85" s="17" t="str">
        <f aca="false">IF('Grocery Purchases'!B82="","",'Grocery Purchases'!C82)</f>
        <v/>
      </c>
      <c r="D85" s="14" t="str">
        <f aca="false">IF('Grocery Purchases'!B82="","",'Grocery Purchases'!D82)</f>
        <v/>
      </c>
      <c r="E85" s="11" t="str">
        <f aca="false">IF('Grocery Purchases'!B82="","",'Grocery Purchases'!F82)</f>
        <v/>
      </c>
      <c r="F85" s="11" t="str">
        <f aca="false">IF('Grocery Purchases'!B82="","",'Grocery Purchases'!G82)</f>
        <v/>
      </c>
      <c r="G85" s="32" t="str">
        <f aca="false">IF('Grocery Purchases'!B82="","",'Grocery Purchases'!H82)</f>
        <v/>
      </c>
      <c r="H85" s="14" t="str">
        <f aca="false">IF('Grocery Purchases'!B82="","",'Grocery Purchases'!I82)</f>
        <v/>
      </c>
    </row>
    <row r="86" customFormat="false" ht="15" hidden="false" customHeight="true" outlineLevel="0" collapsed="false">
      <c r="A86" s="12" t="str">
        <f aca="false">IF('Grocery Purchases'!B83="","",'Grocery Purchases'!A83)</f>
        <v/>
      </c>
      <c r="B86" s="17" t="str">
        <f aca="false">IF('Grocery Purchases'!B83="","",'Grocery Purchases'!B83)</f>
        <v/>
      </c>
      <c r="C86" s="17" t="str">
        <f aca="false">IF('Grocery Purchases'!B83="","",'Grocery Purchases'!C83)</f>
        <v/>
      </c>
      <c r="D86" s="14" t="str">
        <f aca="false">IF('Grocery Purchases'!B83="","",'Grocery Purchases'!D83)</f>
        <v/>
      </c>
      <c r="E86" s="11" t="str">
        <f aca="false">IF('Grocery Purchases'!B83="","",'Grocery Purchases'!F83)</f>
        <v/>
      </c>
      <c r="F86" s="11" t="str">
        <f aca="false">IF('Grocery Purchases'!B83="","",'Grocery Purchases'!G83)</f>
        <v/>
      </c>
      <c r="G86" s="32" t="str">
        <f aca="false">IF('Grocery Purchases'!B83="","",'Grocery Purchases'!H83)</f>
        <v/>
      </c>
      <c r="H86" s="14" t="str">
        <f aca="false">IF('Grocery Purchases'!B83="","",'Grocery Purchases'!I83)</f>
        <v/>
      </c>
    </row>
    <row r="87" customFormat="false" ht="15" hidden="false" customHeight="true" outlineLevel="0" collapsed="false">
      <c r="A87" s="12" t="str">
        <f aca="false">IF('Grocery Purchases'!B84="","",'Grocery Purchases'!A84)</f>
        <v/>
      </c>
      <c r="B87" s="17" t="str">
        <f aca="false">IF('Grocery Purchases'!B84="","",'Grocery Purchases'!B84)</f>
        <v/>
      </c>
      <c r="C87" s="17" t="str">
        <f aca="false">IF('Grocery Purchases'!B84="","",'Grocery Purchases'!C84)</f>
        <v/>
      </c>
      <c r="D87" s="14" t="str">
        <f aca="false">IF('Grocery Purchases'!B84="","",'Grocery Purchases'!D84)</f>
        <v/>
      </c>
      <c r="E87" s="11" t="str">
        <f aca="false">IF('Grocery Purchases'!B84="","",'Grocery Purchases'!F84)</f>
        <v/>
      </c>
      <c r="F87" s="11" t="str">
        <f aca="false">IF('Grocery Purchases'!B84="","",'Grocery Purchases'!G84)</f>
        <v/>
      </c>
      <c r="G87" s="32" t="str">
        <f aca="false">IF('Grocery Purchases'!B84="","",'Grocery Purchases'!H84)</f>
        <v/>
      </c>
      <c r="H87" s="14" t="str">
        <f aca="false">IF('Grocery Purchases'!B84="","",'Grocery Purchases'!I84)</f>
        <v/>
      </c>
    </row>
    <row r="88" customFormat="false" ht="15" hidden="false" customHeight="true" outlineLevel="0" collapsed="false">
      <c r="A88" s="12" t="str">
        <f aca="false">IF('Grocery Purchases'!B85="","",'Grocery Purchases'!A85)</f>
        <v/>
      </c>
      <c r="B88" s="17" t="str">
        <f aca="false">IF('Grocery Purchases'!B85="","",'Grocery Purchases'!B85)</f>
        <v/>
      </c>
      <c r="C88" s="17" t="str">
        <f aca="false">IF('Grocery Purchases'!B85="","",'Grocery Purchases'!C85)</f>
        <v/>
      </c>
      <c r="D88" s="14" t="str">
        <f aca="false">IF('Grocery Purchases'!B85="","",'Grocery Purchases'!D85)</f>
        <v/>
      </c>
      <c r="E88" s="11" t="str">
        <f aca="false">IF('Grocery Purchases'!B85="","",'Grocery Purchases'!F85)</f>
        <v/>
      </c>
      <c r="F88" s="11" t="str">
        <f aca="false">IF('Grocery Purchases'!B85="","",'Grocery Purchases'!G85)</f>
        <v/>
      </c>
      <c r="G88" s="32" t="str">
        <f aca="false">IF('Grocery Purchases'!B85="","",'Grocery Purchases'!H85)</f>
        <v/>
      </c>
      <c r="H88" s="14" t="str">
        <f aca="false">IF('Grocery Purchases'!B85="","",'Grocery Purchases'!I85)</f>
        <v/>
      </c>
    </row>
    <row r="89" customFormat="false" ht="15" hidden="false" customHeight="true" outlineLevel="0" collapsed="false">
      <c r="A89" s="12" t="str">
        <f aca="false">IF('Grocery Purchases'!B86="","",'Grocery Purchases'!A86)</f>
        <v/>
      </c>
      <c r="B89" s="17" t="str">
        <f aca="false">IF('Grocery Purchases'!B86="","",'Grocery Purchases'!B86)</f>
        <v/>
      </c>
      <c r="C89" s="17" t="str">
        <f aca="false">IF('Grocery Purchases'!B86="","",'Grocery Purchases'!C86)</f>
        <v/>
      </c>
      <c r="D89" s="14" t="str">
        <f aca="false">IF('Grocery Purchases'!B86="","",'Grocery Purchases'!D86)</f>
        <v/>
      </c>
      <c r="E89" s="11" t="str">
        <f aca="false">IF('Grocery Purchases'!B86="","",'Grocery Purchases'!F86)</f>
        <v/>
      </c>
      <c r="F89" s="11" t="str">
        <f aca="false">IF('Grocery Purchases'!B86="","",'Grocery Purchases'!G86)</f>
        <v/>
      </c>
      <c r="G89" s="32" t="str">
        <f aca="false">IF('Grocery Purchases'!B86="","",'Grocery Purchases'!H86)</f>
        <v/>
      </c>
      <c r="H89" s="14" t="str">
        <f aca="false">IF('Grocery Purchases'!B86="","",'Grocery Purchases'!I86)</f>
        <v/>
      </c>
    </row>
    <row r="90" customFormat="false" ht="15" hidden="false" customHeight="true" outlineLevel="0" collapsed="false">
      <c r="A90" s="12" t="str">
        <f aca="false">IF('Grocery Purchases'!B87="","",'Grocery Purchases'!A87)</f>
        <v/>
      </c>
      <c r="B90" s="17" t="str">
        <f aca="false">IF('Grocery Purchases'!B87="","",'Grocery Purchases'!B87)</f>
        <v/>
      </c>
      <c r="C90" s="17" t="str">
        <f aca="false">IF('Grocery Purchases'!B87="","",'Grocery Purchases'!C87)</f>
        <v/>
      </c>
      <c r="D90" s="14" t="str">
        <f aca="false">IF('Grocery Purchases'!B87="","",'Grocery Purchases'!D87)</f>
        <v/>
      </c>
      <c r="E90" s="11" t="str">
        <f aca="false">IF('Grocery Purchases'!B87="","",'Grocery Purchases'!F87)</f>
        <v/>
      </c>
      <c r="F90" s="11" t="str">
        <f aca="false">IF('Grocery Purchases'!B87="","",'Grocery Purchases'!G87)</f>
        <v/>
      </c>
      <c r="G90" s="32" t="str">
        <f aca="false">IF('Grocery Purchases'!B87="","",'Grocery Purchases'!H87)</f>
        <v/>
      </c>
      <c r="H90" s="14" t="str">
        <f aca="false">IF('Grocery Purchases'!B87="","",'Grocery Purchases'!I87)</f>
        <v/>
      </c>
    </row>
    <row r="91" customFormat="false" ht="15" hidden="false" customHeight="true" outlineLevel="0" collapsed="false">
      <c r="A91" s="12" t="str">
        <f aca="false">IF('Grocery Purchases'!B88="","",'Grocery Purchases'!A88)</f>
        <v/>
      </c>
      <c r="B91" s="17" t="str">
        <f aca="false">IF('Grocery Purchases'!B88="","",'Grocery Purchases'!B88)</f>
        <v/>
      </c>
      <c r="C91" s="17" t="str">
        <f aca="false">IF('Grocery Purchases'!B88="","",'Grocery Purchases'!C88)</f>
        <v/>
      </c>
      <c r="D91" s="14" t="str">
        <f aca="false">IF('Grocery Purchases'!B88="","",'Grocery Purchases'!D88)</f>
        <v/>
      </c>
      <c r="E91" s="11" t="str">
        <f aca="false">IF('Grocery Purchases'!B88="","",'Grocery Purchases'!F88)</f>
        <v/>
      </c>
      <c r="F91" s="11" t="str">
        <f aca="false">IF('Grocery Purchases'!B88="","",'Grocery Purchases'!G88)</f>
        <v/>
      </c>
      <c r="G91" s="32" t="str">
        <f aca="false">IF('Grocery Purchases'!B88="","",'Grocery Purchases'!H88)</f>
        <v/>
      </c>
      <c r="H91" s="14" t="str">
        <f aca="false">IF('Grocery Purchases'!B88="","",'Grocery Purchases'!I88)</f>
        <v/>
      </c>
    </row>
    <row r="92" customFormat="false" ht="15" hidden="false" customHeight="true" outlineLevel="0" collapsed="false">
      <c r="A92" s="12" t="str">
        <f aca="false">IF('Grocery Purchases'!B89="","",'Grocery Purchases'!A89)</f>
        <v/>
      </c>
      <c r="B92" s="17" t="str">
        <f aca="false">IF('Grocery Purchases'!B89="","",'Grocery Purchases'!B89)</f>
        <v/>
      </c>
      <c r="C92" s="17" t="str">
        <f aca="false">IF('Grocery Purchases'!B89="","",'Grocery Purchases'!C89)</f>
        <v/>
      </c>
      <c r="D92" s="14" t="str">
        <f aca="false">IF('Grocery Purchases'!B89="","",'Grocery Purchases'!D89)</f>
        <v/>
      </c>
      <c r="E92" s="11" t="str">
        <f aca="false">IF('Grocery Purchases'!B89="","",'Grocery Purchases'!F89)</f>
        <v/>
      </c>
      <c r="F92" s="11" t="str">
        <f aca="false">IF('Grocery Purchases'!B89="","",'Grocery Purchases'!G89)</f>
        <v/>
      </c>
      <c r="G92" s="32" t="str">
        <f aca="false">IF('Grocery Purchases'!B89="","",'Grocery Purchases'!H89)</f>
        <v/>
      </c>
      <c r="H92" s="14" t="str">
        <f aca="false">IF('Grocery Purchases'!B89="","",'Grocery Purchases'!I89)</f>
        <v/>
      </c>
    </row>
    <row r="93" customFormat="false" ht="15" hidden="false" customHeight="true" outlineLevel="0" collapsed="false">
      <c r="A93" s="12" t="str">
        <f aca="false">IF('Grocery Purchases'!B90="","",'Grocery Purchases'!A90)</f>
        <v/>
      </c>
      <c r="B93" s="17" t="str">
        <f aca="false">IF('Grocery Purchases'!B90="","",'Grocery Purchases'!B90)</f>
        <v/>
      </c>
      <c r="C93" s="17" t="str">
        <f aca="false">IF('Grocery Purchases'!B90="","",'Grocery Purchases'!C90)</f>
        <v/>
      </c>
      <c r="D93" s="14" t="str">
        <f aca="false">IF('Grocery Purchases'!B90="","",'Grocery Purchases'!D90)</f>
        <v/>
      </c>
      <c r="E93" s="11" t="str">
        <f aca="false">IF('Grocery Purchases'!B90="","",'Grocery Purchases'!F90)</f>
        <v/>
      </c>
      <c r="F93" s="11" t="str">
        <f aca="false">IF('Grocery Purchases'!B90="","",'Grocery Purchases'!G90)</f>
        <v/>
      </c>
      <c r="G93" s="32" t="str">
        <f aca="false">IF('Grocery Purchases'!B90="","",'Grocery Purchases'!H90)</f>
        <v/>
      </c>
      <c r="H93" s="14" t="str">
        <f aca="false">IF('Grocery Purchases'!B90="","",'Grocery Purchases'!I90)</f>
        <v/>
      </c>
    </row>
    <row r="94" customFormat="false" ht="15" hidden="false" customHeight="true" outlineLevel="0" collapsed="false">
      <c r="A94" s="12" t="str">
        <f aca="false">IF('Grocery Purchases'!B91="","",'Grocery Purchases'!A91)</f>
        <v/>
      </c>
      <c r="B94" s="17" t="str">
        <f aca="false">IF('Grocery Purchases'!B91="","",'Grocery Purchases'!B91)</f>
        <v/>
      </c>
      <c r="C94" s="17" t="str">
        <f aca="false">IF('Grocery Purchases'!B91="","",'Grocery Purchases'!C91)</f>
        <v/>
      </c>
      <c r="D94" s="14" t="str">
        <f aca="false">IF('Grocery Purchases'!B91="","",'Grocery Purchases'!D91)</f>
        <v/>
      </c>
      <c r="E94" s="11" t="str">
        <f aca="false">IF('Grocery Purchases'!B91="","",'Grocery Purchases'!F91)</f>
        <v/>
      </c>
      <c r="F94" s="11" t="str">
        <f aca="false">IF('Grocery Purchases'!B91="","",'Grocery Purchases'!G91)</f>
        <v/>
      </c>
      <c r="G94" s="32" t="str">
        <f aca="false">IF('Grocery Purchases'!B91="","",'Grocery Purchases'!H91)</f>
        <v/>
      </c>
      <c r="H94" s="14" t="str">
        <f aca="false">IF('Grocery Purchases'!B91="","",'Grocery Purchases'!I91)</f>
        <v/>
      </c>
    </row>
    <row r="95" customFormat="false" ht="15" hidden="false" customHeight="true" outlineLevel="0" collapsed="false">
      <c r="A95" s="12" t="str">
        <f aca="false">IF('Grocery Purchases'!B92="","",'Grocery Purchases'!A92)</f>
        <v/>
      </c>
      <c r="B95" s="17" t="str">
        <f aca="false">IF('Grocery Purchases'!B92="","",'Grocery Purchases'!B92)</f>
        <v/>
      </c>
      <c r="C95" s="17" t="str">
        <f aca="false">IF('Grocery Purchases'!B92="","",'Grocery Purchases'!C92)</f>
        <v/>
      </c>
      <c r="D95" s="14" t="str">
        <f aca="false">IF('Grocery Purchases'!B92="","",'Grocery Purchases'!D92)</f>
        <v/>
      </c>
      <c r="E95" s="11" t="str">
        <f aca="false">IF('Grocery Purchases'!B92="","",'Grocery Purchases'!F92)</f>
        <v/>
      </c>
      <c r="F95" s="11" t="str">
        <f aca="false">IF('Grocery Purchases'!B92="","",'Grocery Purchases'!G92)</f>
        <v/>
      </c>
      <c r="G95" s="32" t="str">
        <f aca="false">IF('Grocery Purchases'!B92="","",'Grocery Purchases'!H92)</f>
        <v/>
      </c>
      <c r="H95" s="14" t="str">
        <f aca="false">IF('Grocery Purchases'!B92="","",'Grocery Purchases'!I92)</f>
        <v/>
      </c>
    </row>
    <row r="96" customFormat="false" ht="15" hidden="false" customHeight="true" outlineLevel="0" collapsed="false">
      <c r="A96" s="12" t="str">
        <f aca="false">IF('Grocery Purchases'!B93="","",'Grocery Purchases'!A93)</f>
        <v/>
      </c>
      <c r="B96" s="17" t="str">
        <f aca="false">IF('Grocery Purchases'!B93="","",'Grocery Purchases'!B93)</f>
        <v/>
      </c>
      <c r="C96" s="17" t="str">
        <f aca="false">IF('Grocery Purchases'!B93="","",'Grocery Purchases'!C93)</f>
        <v/>
      </c>
      <c r="D96" s="14" t="str">
        <f aca="false">IF('Grocery Purchases'!B93="","",'Grocery Purchases'!D93)</f>
        <v/>
      </c>
      <c r="E96" s="11" t="str">
        <f aca="false">IF('Grocery Purchases'!B93="","",'Grocery Purchases'!F93)</f>
        <v/>
      </c>
      <c r="F96" s="11" t="str">
        <f aca="false">IF('Grocery Purchases'!B93="","",'Grocery Purchases'!G93)</f>
        <v/>
      </c>
      <c r="G96" s="32" t="str">
        <f aca="false">IF('Grocery Purchases'!B93="","",'Grocery Purchases'!H93)</f>
        <v/>
      </c>
      <c r="H96" s="14" t="str">
        <f aca="false">IF('Grocery Purchases'!B93="","",'Grocery Purchases'!I93)</f>
        <v/>
      </c>
    </row>
    <row r="97" customFormat="false" ht="15" hidden="false" customHeight="true" outlineLevel="0" collapsed="false">
      <c r="A97" s="12" t="str">
        <f aca="false">IF('Grocery Purchases'!B94="","",'Grocery Purchases'!A94)</f>
        <v/>
      </c>
      <c r="B97" s="17" t="str">
        <f aca="false">IF('Grocery Purchases'!B94="","",'Grocery Purchases'!B94)</f>
        <v/>
      </c>
      <c r="C97" s="17" t="str">
        <f aca="false">IF('Grocery Purchases'!B94="","",'Grocery Purchases'!C94)</f>
        <v/>
      </c>
      <c r="D97" s="14" t="str">
        <f aca="false">IF('Grocery Purchases'!B94="","",'Grocery Purchases'!D94)</f>
        <v/>
      </c>
      <c r="E97" s="11" t="str">
        <f aca="false">IF('Grocery Purchases'!B94="","",'Grocery Purchases'!F94)</f>
        <v/>
      </c>
      <c r="F97" s="11" t="str">
        <f aca="false">IF('Grocery Purchases'!B94="","",'Grocery Purchases'!G94)</f>
        <v/>
      </c>
      <c r="G97" s="32" t="str">
        <f aca="false">IF('Grocery Purchases'!B94="","",'Grocery Purchases'!H94)</f>
        <v/>
      </c>
      <c r="H97" s="14" t="str">
        <f aca="false">IF('Grocery Purchases'!B94="","",'Grocery Purchases'!I94)</f>
        <v/>
      </c>
    </row>
    <row r="98" customFormat="false" ht="15" hidden="false" customHeight="true" outlineLevel="0" collapsed="false">
      <c r="A98" s="12" t="str">
        <f aca="false">IF('Grocery Purchases'!B95="","",'Grocery Purchases'!A95)</f>
        <v/>
      </c>
      <c r="B98" s="17" t="str">
        <f aca="false">IF('Grocery Purchases'!B95="","",'Grocery Purchases'!B95)</f>
        <v/>
      </c>
      <c r="C98" s="17" t="str">
        <f aca="false">IF('Grocery Purchases'!B95="","",'Grocery Purchases'!C95)</f>
        <v/>
      </c>
      <c r="D98" s="14" t="str">
        <f aca="false">IF('Grocery Purchases'!B95="","",'Grocery Purchases'!D95)</f>
        <v/>
      </c>
      <c r="E98" s="11" t="str">
        <f aca="false">IF('Grocery Purchases'!B95="","",'Grocery Purchases'!F95)</f>
        <v/>
      </c>
      <c r="F98" s="11" t="str">
        <f aca="false">IF('Grocery Purchases'!B95="","",'Grocery Purchases'!G95)</f>
        <v/>
      </c>
      <c r="G98" s="32" t="str">
        <f aca="false">IF('Grocery Purchases'!B95="","",'Grocery Purchases'!H95)</f>
        <v/>
      </c>
      <c r="H98" s="14" t="str">
        <f aca="false">IF('Grocery Purchases'!B95="","",'Grocery Purchases'!I95)</f>
        <v/>
      </c>
    </row>
    <row r="99" customFormat="false" ht="15" hidden="false" customHeight="true" outlineLevel="0" collapsed="false">
      <c r="A99" s="12" t="str">
        <f aca="false">IF('Grocery Purchases'!B96="","",'Grocery Purchases'!A96)</f>
        <v/>
      </c>
      <c r="B99" s="17" t="str">
        <f aca="false">IF('Grocery Purchases'!B96="","",'Grocery Purchases'!B96)</f>
        <v/>
      </c>
      <c r="C99" s="17" t="str">
        <f aca="false">IF('Grocery Purchases'!B96="","",'Grocery Purchases'!C96)</f>
        <v/>
      </c>
      <c r="D99" s="14" t="str">
        <f aca="false">IF('Grocery Purchases'!B96="","",'Grocery Purchases'!D96)</f>
        <v/>
      </c>
      <c r="E99" s="11" t="str">
        <f aca="false">IF('Grocery Purchases'!B96="","",'Grocery Purchases'!F96)</f>
        <v/>
      </c>
      <c r="F99" s="11" t="str">
        <f aca="false">IF('Grocery Purchases'!B96="","",'Grocery Purchases'!G96)</f>
        <v/>
      </c>
      <c r="G99" s="32" t="str">
        <f aca="false">IF('Grocery Purchases'!B96="","",'Grocery Purchases'!H96)</f>
        <v/>
      </c>
      <c r="H99" s="14" t="str">
        <f aca="false">IF('Grocery Purchases'!B96="","",'Grocery Purchases'!I96)</f>
        <v/>
      </c>
    </row>
    <row r="100" customFormat="false" ht="15" hidden="false" customHeight="true" outlineLevel="0" collapsed="false">
      <c r="A100" s="12" t="str">
        <f aca="false">IF('Grocery Purchases'!B97="","",'Grocery Purchases'!A97)</f>
        <v/>
      </c>
      <c r="B100" s="17" t="str">
        <f aca="false">IF('Grocery Purchases'!B97="","",'Grocery Purchases'!B97)</f>
        <v/>
      </c>
      <c r="C100" s="17" t="str">
        <f aca="false">IF('Grocery Purchases'!B97="","",'Grocery Purchases'!C97)</f>
        <v/>
      </c>
      <c r="D100" s="14" t="str">
        <f aca="false">IF('Grocery Purchases'!B97="","",'Grocery Purchases'!D97)</f>
        <v/>
      </c>
      <c r="E100" s="11" t="str">
        <f aca="false">IF('Grocery Purchases'!B97="","",'Grocery Purchases'!F97)</f>
        <v/>
      </c>
      <c r="F100" s="11" t="str">
        <f aca="false">IF('Grocery Purchases'!B97="","",'Grocery Purchases'!G97)</f>
        <v/>
      </c>
      <c r="G100" s="32" t="str">
        <f aca="false">IF('Grocery Purchases'!B97="","",'Grocery Purchases'!H97)</f>
        <v/>
      </c>
      <c r="H100" s="14" t="str">
        <f aca="false">IF('Grocery Purchases'!B97="","",'Grocery Purchases'!I97)</f>
        <v/>
      </c>
    </row>
    <row r="101" customFormat="false" ht="15" hidden="false" customHeight="true" outlineLevel="0" collapsed="false">
      <c r="A101" s="12" t="str">
        <f aca="false">IF('Grocery Purchases'!B98="","",'Grocery Purchases'!A98)</f>
        <v/>
      </c>
      <c r="B101" s="17" t="str">
        <f aca="false">IF('Grocery Purchases'!B98="","",'Grocery Purchases'!B98)</f>
        <v/>
      </c>
      <c r="C101" s="17" t="str">
        <f aca="false">IF('Grocery Purchases'!B98="","",'Grocery Purchases'!C98)</f>
        <v/>
      </c>
      <c r="D101" s="14" t="str">
        <f aca="false">IF('Grocery Purchases'!B98="","",'Grocery Purchases'!D98)</f>
        <v/>
      </c>
      <c r="E101" s="11" t="str">
        <f aca="false">IF('Grocery Purchases'!B98="","",'Grocery Purchases'!F98)</f>
        <v/>
      </c>
      <c r="F101" s="11" t="str">
        <f aca="false">IF('Grocery Purchases'!B98="","",'Grocery Purchases'!G98)</f>
        <v/>
      </c>
      <c r="G101" s="32" t="str">
        <f aca="false">IF('Grocery Purchases'!B98="","",'Grocery Purchases'!H98)</f>
        <v/>
      </c>
      <c r="H101" s="14" t="str">
        <f aca="false">IF('Grocery Purchases'!B98="","",'Grocery Purchases'!I98)</f>
        <v/>
      </c>
    </row>
    <row r="102" customFormat="false" ht="15" hidden="false" customHeight="true" outlineLevel="0" collapsed="false">
      <c r="A102" s="12" t="str">
        <f aca="false">IF('Grocery Purchases'!B99="","",'Grocery Purchases'!A99)</f>
        <v/>
      </c>
      <c r="B102" s="17" t="str">
        <f aca="false">IF('Grocery Purchases'!B99="","",'Grocery Purchases'!B99)</f>
        <v/>
      </c>
      <c r="C102" s="17" t="str">
        <f aca="false">IF('Grocery Purchases'!B99="","",'Grocery Purchases'!C99)</f>
        <v/>
      </c>
      <c r="D102" s="14" t="str">
        <f aca="false">IF('Grocery Purchases'!B99="","",'Grocery Purchases'!D99)</f>
        <v/>
      </c>
      <c r="E102" s="11" t="str">
        <f aca="false">IF('Grocery Purchases'!B99="","",'Grocery Purchases'!F99)</f>
        <v/>
      </c>
      <c r="F102" s="11" t="str">
        <f aca="false">IF('Grocery Purchases'!B99="","",'Grocery Purchases'!G99)</f>
        <v/>
      </c>
      <c r="G102" s="32" t="str">
        <f aca="false">IF('Grocery Purchases'!B99="","",'Grocery Purchases'!H99)</f>
        <v/>
      </c>
      <c r="H102" s="14" t="str">
        <f aca="false">IF('Grocery Purchases'!B99="","",'Grocery Purchases'!I99)</f>
        <v/>
      </c>
    </row>
    <row r="103" customFormat="false" ht="15" hidden="false" customHeight="true" outlineLevel="0" collapsed="false">
      <c r="A103" s="12" t="str">
        <f aca="false">IF('Grocery Purchases'!B100="","",'Grocery Purchases'!A100)</f>
        <v/>
      </c>
      <c r="B103" s="17" t="str">
        <f aca="false">IF('Grocery Purchases'!B100="","",'Grocery Purchases'!B100)</f>
        <v/>
      </c>
      <c r="C103" s="17" t="str">
        <f aca="false">IF('Grocery Purchases'!B100="","",'Grocery Purchases'!C100)</f>
        <v/>
      </c>
      <c r="D103" s="14" t="str">
        <f aca="false">IF('Grocery Purchases'!B100="","",'Grocery Purchases'!D100)</f>
        <v/>
      </c>
      <c r="E103" s="11" t="str">
        <f aca="false">IF('Grocery Purchases'!B100="","",'Grocery Purchases'!F100)</f>
        <v/>
      </c>
      <c r="F103" s="11" t="str">
        <f aca="false">IF('Grocery Purchases'!B100="","",'Grocery Purchases'!G100)</f>
        <v/>
      </c>
      <c r="G103" s="32" t="str">
        <f aca="false">IF('Grocery Purchases'!B100="","",'Grocery Purchases'!H100)</f>
        <v/>
      </c>
      <c r="H103" s="14" t="str">
        <f aca="false">IF('Grocery Purchases'!B100="","",'Grocery Purchases'!I100)</f>
        <v/>
      </c>
    </row>
    <row r="104" customFormat="false" ht="15" hidden="false" customHeight="true" outlineLevel="0" collapsed="false">
      <c r="A104" s="12" t="str">
        <f aca="false">IF('Grocery Purchases'!B101="","",'Grocery Purchases'!A101)</f>
        <v/>
      </c>
      <c r="B104" s="17" t="str">
        <f aca="false">IF('Grocery Purchases'!B101="","",'Grocery Purchases'!B101)</f>
        <v/>
      </c>
      <c r="C104" s="17" t="str">
        <f aca="false">IF('Grocery Purchases'!B101="","",'Grocery Purchases'!C101)</f>
        <v/>
      </c>
      <c r="D104" s="14" t="str">
        <f aca="false">IF('Grocery Purchases'!B101="","",'Grocery Purchases'!D101)</f>
        <v/>
      </c>
      <c r="E104" s="11" t="str">
        <f aca="false">IF('Grocery Purchases'!B101="","",'Grocery Purchases'!F101)</f>
        <v/>
      </c>
      <c r="F104" s="11" t="str">
        <f aca="false">IF('Grocery Purchases'!B101="","",'Grocery Purchases'!G101)</f>
        <v/>
      </c>
      <c r="G104" s="32" t="str">
        <f aca="false">IF('Grocery Purchases'!B101="","",'Grocery Purchases'!H101)</f>
        <v/>
      </c>
      <c r="H104" s="14" t="str">
        <f aca="false">IF('Grocery Purchases'!B101="","",'Grocery Purchases'!I101)</f>
        <v/>
      </c>
    </row>
    <row r="105" customFormat="false" ht="15" hidden="false" customHeight="true" outlineLevel="0" collapsed="false">
      <c r="A105" s="12" t="str">
        <f aca="false">IF('Grocery Purchases'!B102="","",'Grocery Purchases'!A102)</f>
        <v/>
      </c>
      <c r="B105" s="17" t="str">
        <f aca="false">IF('Grocery Purchases'!B102="","",'Grocery Purchases'!B102)</f>
        <v/>
      </c>
      <c r="C105" s="17" t="str">
        <f aca="false">IF('Grocery Purchases'!B102="","",'Grocery Purchases'!C102)</f>
        <v/>
      </c>
      <c r="D105" s="14" t="str">
        <f aca="false">IF('Grocery Purchases'!B102="","",'Grocery Purchases'!D102)</f>
        <v/>
      </c>
      <c r="E105" s="11" t="str">
        <f aca="false">IF('Grocery Purchases'!B102="","",'Grocery Purchases'!F102)</f>
        <v/>
      </c>
      <c r="F105" s="11" t="str">
        <f aca="false">IF('Grocery Purchases'!B102="","",'Grocery Purchases'!G102)</f>
        <v/>
      </c>
      <c r="G105" s="32" t="str">
        <f aca="false">IF('Grocery Purchases'!B102="","",'Grocery Purchases'!H102)</f>
        <v/>
      </c>
      <c r="H105" s="14" t="str">
        <f aca="false">IF('Grocery Purchases'!B102="","",'Grocery Purchases'!I102)</f>
        <v/>
      </c>
    </row>
    <row r="106" customFormat="false" ht="15" hidden="false" customHeight="true" outlineLevel="0" collapsed="false">
      <c r="A106" s="12" t="str">
        <f aca="false">IF('Grocery Purchases'!B103="","",'Grocery Purchases'!A103)</f>
        <v/>
      </c>
      <c r="B106" s="17" t="str">
        <f aca="false">IF('Grocery Purchases'!B103="","",'Grocery Purchases'!B103)</f>
        <v/>
      </c>
      <c r="C106" s="17" t="str">
        <f aca="false">IF('Grocery Purchases'!B103="","",'Grocery Purchases'!C103)</f>
        <v/>
      </c>
      <c r="D106" s="14" t="str">
        <f aca="false">IF('Grocery Purchases'!B103="","",'Grocery Purchases'!D103)</f>
        <v/>
      </c>
      <c r="E106" s="11" t="str">
        <f aca="false">IF('Grocery Purchases'!B103="","",'Grocery Purchases'!F103)</f>
        <v/>
      </c>
      <c r="F106" s="11" t="str">
        <f aca="false">IF('Grocery Purchases'!B103="","",'Grocery Purchases'!G103)</f>
        <v/>
      </c>
      <c r="G106" s="32" t="str">
        <f aca="false">IF('Grocery Purchases'!B103="","",'Grocery Purchases'!H103)</f>
        <v/>
      </c>
      <c r="H106" s="14" t="str">
        <f aca="false">IF('Grocery Purchases'!B103="","",'Grocery Purchases'!I103)</f>
        <v/>
      </c>
    </row>
    <row r="107" customFormat="false" ht="15" hidden="false" customHeight="true" outlineLevel="0" collapsed="false">
      <c r="A107" s="12" t="str">
        <f aca="false">IF('Grocery Purchases'!B104="","",'Grocery Purchases'!A104)</f>
        <v/>
      </c>
      <c r="B107" s="17" t="str">
        <f aca="false">IF('Grocery Purchases'!B104="","",'Grocery Purchases'!B104)</f>
        <v/>
      </c>
      <c r="C107" s="17" t="str">
        <f aca="false">IF('Grocery Purchases'!B104="","",'Grocery Purchases'!C104)</f>
        <v/>
      </c>
      <c r="D107" s="14" t="str">
        <f aca="false">IF('Grocery Purchases'!B104="","",'Grocery Purchases'!D104)</f>
        <v/>
      </c>
      <c r="E107" s="11" t="str">
        <f aca="false">IF('Grocery Purchases'!B104="","",'Grocery Purchases'!F104)</f>
        <v/>
      </c>
      <c r="F107" s="11" t="str">
        <f aca="false">IF('Grocery Purchases'!B104="","",'Grocery Purchases'!G104)</f>
        <v/>
      </c>
      <c r="G107" s="32" t="str">
        <f aca="false">IF('Grocery Purchases'!B104="","",'Grocery Purchases'!H104)</f>
        <v/>
      </c>
      <c r="H107" s="14" t="str">
        <f aca="false">IF('Grocery Purchases'!B104="","",'Grocery Purchases'!I104)</f>
        <v/>
      </c>
    </row>
    <row r="108" customFormat="false" ht="15" hidden="false" customHeight="true" outlineLevel="0" collapsed="false">
      <c r="A108" s="12" t="str">
        <f aca="false">IF('Grocery Purchases'!B105="","",'Grocery Purchases'!A105)</f>
        <v/>
      </c>
      <c r="B108" s="17" t="str">
        <f aca="false">IF('Grocery Purchases'!B105="","",'Grocery Purchases'!B105)</f>
        <v/>
      </c>
      <c r="C108" s="17" t="str">
        <f aca="false">IF('Grocery Purchases'!B105="","",'Grocery Purchases'!C105)</f>
        <v/>
      </c>
      <c r="D108" s="14" t="str">
        <f aca="false">IF('Grocery Purchases'!B105="","",'Grocery Purchases'!D105)</f>
        <v/>
      </c>
      <c r="E108" s="11" t="str">
        <f aca="false">IF('Grocery Purchases'!B105="","",'Grocery Purchases'!F105)</f>
        <v/>
      </c>
      <c r="F108" s="11" t="str">
        <f aca="false">IF('Grocery Purchases'!B105="","",'Grocery Purchases'!G105)</f>
        <v/>
      </c>
      <c r="G108" s="32" t="str">
        <f aca="false">IF('Grocery Purchases'!B105="","",'Grocery Purchases'!H105)</f>
        <v/>
      </c>
      <c r="H108" s="14" t="str">
        <f aca="false">IF('Grocery Purchases'!B105="","",'Grocery Purchases'!I105)</f>
        <v/>
      </c>
    </row>
    <row r="109" customFormat="false" ht="15" hidden="false" customHeight="true" outlineLevel="0" collapsed="false">
      <c r="A109" s="12" t="str">
        <f aca="false">IF('Grocery Purchases'!B106="","",'Grocery Purchases'!A106)</f>
        <v/>
      </c>
      <c r="B109" s="17" t="str">
        <f aca="false">IF('Grocery Purchases'!B106="","",'Grocery Purchases'!B106)</f>
        <v/>
      </c>
      <c r="C109" s="17" t="str">
        <f aca="false">IF('Grocery Purchases'!B106="","",'Grocery Purchases'!C106)</f>
        <v/>
      </c>
      <c r="D109" s="14" t="str">
        <f aca="false">IF('Grocery Purchases'!B106="","",'Grocery Purchases'!D106)</f>
        <v/>
      </c>
      <c r="E109" s="11" t="str">
        <f aca="false">IF('Grocery Purchases'!B106="","",'Grocery Purchases'!F106)</f>
        <v/>
      </c>
      <c r="F109" s="11" t="str">
        <f aca="false">IF('Grocery Purchases'!B106="","",'Grocery Purchases'!G106)</f>
        <v/>
      </c>
      <c r="G109" s="32" t="str">
        <f aca="false">IF('Grocery Purchases'!B106="","",'Grocery Purchases'!H106)</f>
        <v/>
      </c>
      <c r="H109" s="14" t="str">
        <f aca="false">IF('Grocery Purchases'!B106="","",'Grocery Purchases'!I106)</f>
        <v/>
      </c>
    </row>
    <row r="110" customFormat="false" ht="15" hidden="false" customHeight="true" outlineLevel="0" collapsed="false">
      <c r="A110" s="12" t="str">
        <f aca="false">IF('Grocery Purchases'!B107="","",'Grocery Purchases'!A107)</f>
        <v/>
      </c>
      <c r="B110" s="17" t="str">
        <f aca="false">IF('Grocery Purchases'!B107="","",'Grocery Purchases'!B107)</f>
        <v/>
      </c>
      <c r="C110" s="17" t="str">
        <f aca="false">IF('Grocery Purchases'!B107="","",'Grocery Purchases'!C107)</f>
        <v/>
      </c>
      <c r="D110" s="14" t="str">
        <f aca="false">IF('Grocery Purchases'!B107="","",'Grocery Purchases'!D107)</f>
        <v/>
      </c>
      <c r="E110" s="11" t="str">
        <f aca="false">IF('Grocery Purchases'!B107="","",'Grocery Purchases'!F107)</f>
        <v/>
      </c>
      <c r="F110" s="11" t="str">
        <f aca="false">IF('Grocery Purchases'!B107="","",'Grocery Purchases'!G107)</f>
        <v/>
      </c>
      <c r="G110" s="32" t="str">
        <f aca="false">IF('Grocery Purchases'!B107="","",'Grocery Purchases'!H107)</f>
        <v/>
      </c>
      <c r="H110" s="14" t="str">
        <f aca="false">IF('Grocery Purchases'!B107="","",'Grocery Purchases'!I107)</f>
        <v/>
      </c>
    </row>
    <row r="111" customFormat="false" ht="15" hidden="false" customHeight="true" outlineLevel="0" collapsed="false">
      <c r="A111" s="12" t="str">
        <f aca="false">IF('Grocery Purchases'!B108="","",'Grocery Purchases'!A108)</f>
        <v/>
      </c>
      <c r="B111" s="17" t="str">
        <f aca="false">IF('Grocery Purchases'!B108="","",'Grocery Purchases'!B108)</f>
        <v/>
      </c>
      <c r="C111" s="17" t="str">
        <f aca="false">IF('Grocery Purchases'!B108="","",'Grocery Purchases'!C108)</f>
        <v/>
      </c>
      <c r="D111" s="14" t="str">
        <f aca="false">IF('Grocery Purchases'!B108="","",'Grocery Purchases'!D108)</f>
        <v/>
      </c>
      <c r="E111" s="11" t="str">
        <f aca="false">IF('Grocery Purchases'!B108="","",'Grocery Purchases'!F108)</f>
        <v/>
      </c>
      <c r="F111" s="11" t="str">
        <f aca="false">IF('Grocery Purchases'!B108="","",'Grocery Purchases'!G108)</f>
        <v/>
      </c>
      <c r="G111" s="32" t="str">
        <f aca="false">IF('Grocery Purchases'!B108="","",'Grocery Purchases'!H108)</f>
        <v/>
      </c>
      <c r="H111" s="14" t="str">
        <f aca="false">IF('Grocery Purchases'!B108="","",'Grocery Purchases'!I108)</f>
        <v/>
      </c>
    </row>
    <row r="112" customFormat="false" ht="15" hidden="false" customHeight="true" outlineLevel="0" collapsed="false">
      <c r="A112" s="12" t="str">
        <f aca="false">IF('Grocery Purchases'!B109="","",'Grocery Purchases'!A109)</f>
        <v/>
      </c>
      <c r="B112" s="17" t="str">
        <f aca="false">IF('Grocery Purchases'!B109="","",'Grocery Purchases'!B109)</f>
        <v/>
      </c>
      <c r="C112" s="17" t="str">
        <f aca="false">IF('Grocery Purchases'!B109="","",'Grocery Purchases'!C109)</f>
        <v/>
      </c>
      <c r="D112" s="14" t="str">
        <f aca="false">IF('Grocery Purchases'!B109="","",'Grocery Purchases'!D109)</f>
        <v/>
      </c>
      <c r="E112" s="11" t="str">
        <f aca="false">IF('Grocery Purchases'!B109="","",'Grocery Purchases'!F109)</f>
        <v/>
      </c>
      <c r="F112" s="11" t="str">
        <f aca="false">IF('Grocery Purchases'!B109="","",'Grocery Purchases'!G109)</f>
        <v/>
      </c>
      <c r="G112" s="32" t="str">
        <f aca="false">IF('Grocery Purchases'!B109="","",'Grocery Purchases'!H109)</f>
        <v/>
      </c>
      <c r="H112" s="14" t="str">
        <f aca="false">IF('Grocery Purchases'!B109="","",'Grocery Purchases'!I109)</f>
        <v/>
      </c>
    </row>
    <row r="113" customFormat="false" ht="15" hidden="false" customHeight="true" outlineLevel="0" collapsed="false">
      <c r="A113" s="12" t="str">
        <f aca="false">IF('Grocery Purchases'!B110="","",'Grocery Purchases'!A110)</f>
        <v/>
      </c>
      <c r="B113" s="17" t="str">
        <f aca="false">IF('Grocery Purchases'!B110="","",'Grocery Purchases'!B110)</f>
        <v/>
      </c>
      <c r="C113" s="17" t="str">
        <f aca="false">IF('Grocery Purchases'!B110="","",'Grocery Purchases'!C110)</f>
        <v/>
      </c>
      <c r="D113" s="14" t="str">
        <f aca="false">IF('Grocery Purchases'!B110="","",'Grocery Purchases'!D110)</f>
        <v/>
      </c>
      <c r="E113" s="11" t="str">
        <f aca="false">IF('Grocery Purchases'!B110="","",'Grocery Purchases'!F110)</f>
        <v/>
      </c>
      <c r="F113" s="11" t="str">
        <f aca="false">IF('Grocery Purchases'!B110="","",'Grocery Purchases'!G110)</f>
        <v/>
      </c>
      <c r="G113" s="32" t="str">
        <f aca="false">IF('Grocery Purchases'!B110="","",'Grocery Purchases'!H110)</f>
        <v/>
      </c>
      <c r="H113" s="14" t="str">
        <f aca="false">IF('Grocery Purchases'!B110="","",'Grocery Purchases'!I110)</f>
        <v/>
      </c>
    </row>
    <row r="114" customFormat="false" ht="15" hidden="false" customHeight="true" outlineLevel="0" collapsed="false">
      <c r="A114" s="12" t="str">
        <f aca="false">IF('Grocery Purchases'!B111="","",'Grocery Purchases'!A111)</f>
        <v/>
      </c>
      <c r="B114" s="17" t="str">
        <f aca="false">IF('Grocery Purchases'!B111="","",'Grocery Purchases'!B111)</f>
        <v/>
      </c>
      <c r="C114" s="17" t="str">
        <f aca="false">IF('Grocery Purchases'!B111="","",'Grocery Purchases'!C111)</f>
        <v/>
      </c>
      <c r="D114" s="14" t="str">
        <f aca="false">IF('Grocery Purchases'!B111="","",'Grocery Purchases'!D111)</f>
        <v/>
      </c>
      <c r="E114" s="11" t="str">
        <f aca="false">IF('Grocery Purchases'!B111="","",'Grocery Purchases'!F111)</f>
        <v/>
      </c>
      <c r="F114" s="11" t="str">
        <f aca="false">IF('Grocery Purchases'!B111="","",'Grocery Purchases'!G111)</f>
        <v/>
      </c>
      <c r="G114" s="32" t="str">
        <f aca="false">IF('Grocery Purchases'!B111="","",'Grocery Purchases'!H111)</f>
        <v/>
      </c>
      <c r="H114" s="14" t="str">
        <f aca="false">IF('Grocery Purchases'!B111="","",'Grocery Purchases'!I111)</f>
        <v/>
      </c>
    </row>
    <row r="115" customFormat="false" ht="15" hidden="false" customHeight="true" outlineLevel="0" collapsed="false">
      <c r="A115" s="12" t="str">
        <f aca="false">IF('Grocery Purchases'!B112="","",'Grocery Purchases'!A112)</f>
        <v/>
      </c>
      <c r="B115" s="17" t="str">
        <f aca="false">IF('Grocery Purchases'!B112="","",'Grocery Purchases'!B112)</f>
        <v/>
      </c>
      <c r="C115" s="17" t="str">
        <f aca="false">IF('Grocery Purchases'!B112="","",'Grocery Purchases'!C112)</f>
        <v/>
      </c>
      <c r="D115" s="14" t="str">
        <f aca="false">IF('Grocery Purchases'!B112="","",'Grocery Purchases'!D112)</f>
        <v/>
      </c>
      <c r="E115" s="11" t="str">
        <f aca="false">IF('Grocery Purchases'!B112="","",'Grocery Purchases'!F112)</f>
        <v/>
      </c>
      <c r="F115" s="11" t="str">
        <f aca="false">IF('Grocery Purchases'!B112="","",'Grocery Purchases'!G112)</f>
        <v/>
      </c>
      <c r="G115" s="32" t="str">
        <f aca="false">IF('Grocery Purchases'!B112="","",'Grocery Purchases'!H112)</f>
        <v/>
      </c>
      <c r="H115" s="14" t="str">
        <f aca="false">IF('Grocery Purchases'!B112="","",'Grocery Purchases'!I112)</f>
        <v/>
      </c>
    </row>
    <row r="116" customFormat="false" ht="15" hidden="false" customHeight="true" outlineLevel="0" collapsed="false">
      <c r="A116" s="12" t="str">
        <f aca="false">IF('Grocery Purchases'!B113="","",'Grocery Purchases'!A113)</f>
        <v/>
      </c>
      <c r="B116" s="17" t="str">
        <f aca="false">IF('Grocery Purchases'!B113="","",'Grocery Purchases'!B113)</f>
        <v/>
      </c>
      <c r="C116" s="17" t="str">
        <f aca="false">IF('Grocery Purchases'!B113="","",'Grocery Purchases'!C113)</f>
        <v/>
      </c>
      <c r="D116" s="14" t="str">
        <f aca="false">IF('Grocery Purchases'!B113="","",'Grocery Purchases'!D113)</f>
        <v/>
      </c>
      <c r="E116" s="11" t="str">
        <f aca="false">IF('Grocery Purchases'!B113="","",'Grocery Purchases'!F113)</f>
        <v/>
      </c>
      <c r="F116" s="11" t="str">
        <f aca="false">IF('Grocery Purchases'!B113="","",'Grocery Purchases'!G113)</f>
        <v/>
      </c>
      <c r="G116" s="32" t="str">
        <f aca="false">IF('Grocery Purchases'!B113="","",'Grocery Purchases'!H113)</f>
        <v/>
      </c>
      <c r="H116" s="14" t="str">
        <f aca="false">IF('Grocery Purchases'!B113="","",'Grocery Purchases'!I113)</f>
        <v/>
      </c>
    </row>
    <row r="117" customFormat="false" ht="15" hidden="false" customHeight="true" outlineLevel="0" collapsed="false">
      <c r="A117" s="12" t="str">
        <f aca="false">IF('Grocery Purchases'!B114="","",'Grocery Purchases'!A114)</f>
        <v/>
      </c>
      <c r="B117" s="17" t="str">
        <f aca="false">IF('Grocery Purchases'!B114="","",'Grocery Purchases'!B114)</f>
        <v/>
      </c>
      <c r="C117" s="17" t="str">
        <f aca="false">IF('Grocery Purchases'!B114="","",'Grocery Purchases'!C114)</f>
        <v/>
      </c>
      <c r="D117" s="14" t="str">
        <f aca="false">IF('Grocery Purchases'!B114="","",'Grocery Purchases'!D114)</f>
        <v/>
      </c>
      <c r="E117" s="11" t="str">
        <f aca="false">IF('Grocery Purchases'!B114="","",'Grocery Purchases'!F114)</f>
        <v/>
      </c>
      <c r="F117" s="11" t="str">
        <f aca="false">IF('Grocery Purchases'!B114="","",'Grocery Purchases'!G114)</f>
        <v/>
      </c>
      <c r="G117" s="32" t="str">
        <f aca="false">IF('Grocery Purchases'!B114="","",'Grocery Purchases'!H114)</f>
        <v/>
      </c>
      <c r="H117" s="14" t="str">
        <f aca="false">IF('Grocery Purchases'!B114="","",'Grocery Purchases'!I114)</f>
        <v/>
      </c>
    </row>
    <row r="118" customFormat="false" ht="15" hidden="false" customHeight="true" outlineLevel="0" collapsed="false">
      <c r="A118" s="12" t="str">
        <f aca="false">IF('Grocery Purchases'!B115="","",'Grocery Purchases'!A115)</f>
        <v/>
      </c>
      <c r="B118" s="17" t="str">
        <f aca="false">IF('Grocery Purchases'!B115="","",'Grocery Purchases'!B115)</f>
        <v/>
      </c>
      <c r="C118" s="17" t="str">
        <f aca="false">IF('Grocery Purchases'!B115="","",'Grocery Purchases'!C115)</f>
        <v/>
      </c>
      <c r="D118" s="14" t="str">
        <f aca="false">IF('Grocery Purchases'!B115="","",'Grocery Purchases'!D115)</f>
        <v/>
      </c>
      <c r="E118" s="11" t="str">
        <f aca="false">IF('Grocery Purchases'!B115="","",'Grocery Purchases'!F115)</f>
        <v/>
      </c>
      <c r="F118" s="11" t="str">
        <f aca="false">IF('Grocery Purchases'!B115="","",'Grocery Purchases'!G115)</f>
        <v/>
      </c>
      <c r="G118" s="32" t="str">
        <f aca="false">IF('Grocery Purchases'!B115="","",'Grocery Purchases'!H115)</f>
        <v/>
      </c>
      <c r="H118" s="14" t="str">
        <f aca="false">IF('Grocery Purchases'!B115="","",'Grocery Purchases'!I115)</f>
        <v/>
      </c>
    </row>
    <row r="119" customFormat="false" ht="15" hidden="false" customHeight="true" outlineLevel="0" collapsed="false">
      <c r="A119" s="12" t="str">
        <f aca="false">IF('Grocery Purchases'!B116="","",'Grocery Purchases'!A116)</f>
        <v/>
      </c>
      <c r="B119" s="17" t="str">
        <f aca="false">IF('Grocery Purchases'!B116="","",'Grocery Purchases'!B116)</f>
        <v/>
      </c>
      <c r="C119" s="17" t="str">
        <f aca="false">IF('Grocery Purchases'!B116="","",'Grocery Purchases'!C116)</f>
        <v/>
      </c>
      <c r="D119" s="14" t="str">
        <f aca="false">IF('Grocery Purchases'!B116="","",'Grocery Purchases'!D116)</f>
        <v/>
      </c>
      <c r="E119" s="11" t="str">
        <f aca="false">IF('Grocery Purchases'!B116="","",'Grocery Purchases'!F116)</f>
        <v/>
      </c>
      <c r="F119" s="11" t="str">
        <f aca="false">IF('Grocery Purchases'!B116="","",'Grocery Purchases'!G116)</f>
        <v/>
      </c>
      <c r="G119" s="32" t="str">
        <f aca="false">IF('Grocery Purchases'!B116="","",'Grocery Purchases'!H116)</f>
        <v/>
      </c>
      <c r="H119" s="14" t="str">
        <f aca="false">IF('Grocery Purchases'!B116="","",'Grocery Purchases'!I116)</f>
        <v/>
      </c>
    </row>
    <row r="120" customFormat="false" ht="15" hidden="false" customHeight="true" outlineLevel="0" collapsed="false">
      <c r="A120" s="12" t="str">
        <f aca="false">IF('Grocery Purchases'!B117="","",'Grocery Purchases'!A117)</f>
        <v/>
      </c>
      <c r="B120" s="17" t="str">
        <f aca="false">IF('Grocery Purchases'!B117="","",'Grocery Purchases'!B117)</f>
        <v/>
      </c>
      <c r="C120" s="17" t="str">
        <f aca="false">IF('Grocery Purchases'!B117="","",'Grocery Purchases'!C117)</f>
        <v/>
      </c>
      <c r="D120" s="14" t="str">
        <f aca="false">IF('Grocery Purchases'!B117="","",'Grocery Purchases'!D117)</f>
        <v/>
      </c>
      <c r="E120" s="11" t="str">
        <f aca="false">IF('Grocery Purchases'!B117="","",'Grocery Purchases'!F117)</f>
        <v/>
      </c>
      <c r="F120" s="11" t="str">
        <f aca="false">IF('Grocery Purchases'!B117="","",'Grocery Purchases'!G117)</f>
        <v/>
      </c>
      <c r="G120" s="32" t="str">
        <f aca="false">IF('Grocery Purchases'!B117="","",'Grocery Purchases'!H117)</f>
        <v/>
      </c>
      <c r="H120" s="14" t="str">
        <f aca="false">IF('Grocery Purchases'!B117="","",'Grocery Purchases'!I117)</f>
        <v/>
      </c>
    </row>
    <row r="121" customFormat="false" ht="15" hidden="false" customHeight="true" outlineLevel="0" collapsed="false">
      <c r="A121" s="12" t="str">
        <f aca="false">IF('Grocery Purchases'!B118="","",'Grocery Purchases'!A118)</f>
        <v/>
      </c>
      <c r="B121" s="17" t="str">
        <f aca="false">IF('Grocery Purchases'!B118="","",'Grocery Purchases'!B118)</f>
        <v/>
      </c>
      <c r="C121" s="17" t="str">
        <f aca="false">IF('Grocery Purchases'!B118="","",'Grocery Purchases'!C118)</f>
        <v/>
      </c>
      <c r="D121" s="14" t="str">
        <f aca="false">IF('Grocery Purchases'!B118="","",'Grocery Purchases'!D118)</f>
        <v/>
      </c>
      <c r="E121" s="11" t="str">
        <f aca="false">IF('Grocery Purchases'!B118="","",'Grocery Purchases'!F118)</f>
        <v/>
      </c>
      <c r="F121" s="11" t="str">
        <f aca="false">IF('Grocery Purchases'!B118="","",'Grocery Purchases'!G118)</f>
        <v/>
      </c>
      <c r="G121" s="32" t="str">
        <f aca="false">IF('Grocery Purchases'!B118="","",'Grocery Purchases'!H118)</f>
        <v/>
      </c>
      <c r="H121" s="14" t="str">
        <f aca="false">IF('Grocery Purchases'!B118="","",'Grocery Purchases'!I118)</f>
        <v/>
      </c>
    </row>
    <row r="122" customFormat="false" ht="15" hidden="false" customHeight="true" outlineLevel="0" collapsed="false">
      <c r="A122" s="12" t="str">
        <f aca="false">IF('Grocery Purchases'!B119="","",'Grocery Purchases'!A119)</f>
        <v/>
      </c>
      <c r="B122" s="17" t="str">
        <f aca="false">IF('Grocery Purchases'!B119="","",'Grocery Purchases'!B119)</f>
        <v/>
      </c>
      <c r="C122" s="17" t="str">
        <f aca="false">IF('Grocery Purchases'!B119="","",'Grocery Purchases'!C119)</f>
        <v/>
      </c>
      <c r="D122" s="14" t="str">
        <f aca="false">IF('Grocery Purchases'!B119="","",'Grocery Purchases'!D119)</f>
        <v/>
      </c>
      <c r="E122" s="11" t="str">
        <f aca="false">IF('Grocery Purchases'!B119="","",'Grocery Purchases'!F119)</f>
        <v/>
      </c>
      <c r="F122" s="11" t="str">
        <f aca="false">IF('Grocery Purchases'!B119="","",'Grocery Purchases'!G119)</f>
        <v/>
      </c>
      <c r="G122" s="32" t="str">
        <f aca="false">IF('Grocery Purchases'!B119="","",'Grocery Purchases'!H119)</f>
        <v/>
      </c>
      <c r="H122" s="14" t="str">
        <f aca="false">IF('Grocery Purchases'!B119="","",'Grocery Purchases'!I119)</f>
        <v/>
      </c>
    </row>
    <row r="123" customFormat="false" ht="15" hidden="false" customHeight="true" outlineLevel="0" collapsed="false">
      <c r="A123" s="12" t="str">
        <f aca="false">IF('Grocery Purchases'!B120="","",'Grocery Purchases'!A120)</f>
        <v/>
      </c>
      <c r="B123" s="17" t="str">
        <f aca="false">IF('Grocery Purchases'!B120="","",'Grocery Purchases'!B120)</f>
        <v/>
      </c>
      <c r="C123" s="17" t="str">
        <f aca="false">IF('Grocery Purchases'!B120="","",'Grocery Purchases'!C120)</f>
        <v/>
      </c>
      <c r="D123" s="14" t="str">
        <f aca="false">IF('Grocery Purchases'!B120="","",'Grocery Purchases'!D120)</f>
        <v/>
      </c>
      <c r="E123" s="11" t="str">
        <f aca="false">IF('Grocery Purchases'!B120="","",'Grocery Purchases'!F120)</f>
        <v/>
      </c>
      <c r="F123" s="11" t="str">
        <f aca="false">IF('Grocery Purchases'!B120="","",'Grocery Purchases'!G120)</f>
        <v/>
      </c>
      <c r="G123" s="32" t="str">
        <f aca="false">IF('Grocery Purchases'!B120="","",'Grocery Purchases'!H120)</f>
        <v/>
      </c>
      <c r="H123" s="14" t="str">
        <f aca="false">IF('Grocery Purchases'!B120="","",'Grocery Purchases'!I120)</f>
        <v/>
      </c>
    </row>
    <row r="124" customFormat="false" ht="15" hidden="false" customHeight="true" outlineLevel="0" collapsed="false">
      <c r="A124" s="12" t="str">
        <f aca="false">IF('Grocery Purchases'!B121="","",'Grocery Purchases'!A121)</f>
        <v/>
      </c>
      <c r="B124" s="17" t="str">
        <f aca="false">IF('Grocery Purchases'!B121="","",'Grocery Purchases'!B121)</f>
        <v/>
      </c>
      <c r="C124" s="17" t="str">
        <f aca="false">IF('Grocery Purchases'!B121="","",'Grocery Purchases'!C121)</f>
        <v/>
      </c>
      <c r="D124" s="14" t="str">
        <f aca="false">IF('Grocery Purchases'!B121="","",'Grocery Purchases'!D121)</f>
        <v/>
      </c>
      <c r="E124" s="11" t="str">
        <f aca="false">IF('Grocery Purchases'!B121="","",'Grocery Purchases'!F121)</f>
        <v/>
      </c>
      <c r="F124" s="11" t="str">
        <f aca="false">IF('Grocery Purchases'!B121="","",'Grocery Purchases'!G121)</f>
        <v/>
      </c>
      <c r="G124" s="32" t="str">
        <f aca="false">IF('Grocery Purchases'!B121="","",'Grocery Purchases'!H121)</f>
        <v/>
      </c>
      <c r="H124" s="14" t="str">
        <f aca="false">IF('Grocery Purchases'!B121="","",'Grocery Purchases'!I121)</f>
        <v/>
      </c>
    </row>
    <row r="125" customFormat="false" ht="15" hidden="false" customHeight="true" outlineLevel="0" collapsed="false">
      <c r="A125" s="12" t="str">
        <f aca="false">IF('Grocery Purchases'!B122="","",'Grocery Purchases'!A122)</f>
        <v/>
      </c>
      <c r="B125" s="17" t="str">
        <f aca="false">IF('Grocery Purchases'!B122="","",'Grocery Purchases'!B122)</f>
        <v/>
      </c>
      <c r="C125" s="17" t="str">
        <f aca="false">IF('Grocery Purchases'!B122="","",'Grocery Purchases'!C122)</f>
        <v/>
      </c>
      <c r="D125" s="14" t="str">
        <f aca="false">IF('Grocery Purchases'!B122="","",'Grocery Purchases'!D122)</f>
        <v/>
      </c>
      <c r="E125" s="11" t="str">
        <f aca="false">IF('Grocery Purchases'!B122="","",'Grocery Purchases'!F122)</f>
        <v/>
      </c>
      <c r="F125" s="11" t="str">
        <f aca="false">IF('Grocery Purchases'!B122="","",'Grocery Purchases'!G122)</f>
        <v/>
      </c>
      <c r="G125" s="32" t="str">
        <f aca="false">IF('Grocery Purchases'!B122="","",'Grocery Purchases'!H122)</f>
        <v/>
      </c>
      <c r="H125" s="14" t="str">
        <f aca="false">IF('Grocery Purchases'!B122="","",'Grocery Purchases'!I122)</f>
        <v/>
      </c>
    </row>
    <row r="126" customFormat="false" ht="15" hidden="false" customHeight="true" outlineLevel="0" collapsed="false">
      <c r="A126" s="12" t="str">
        <f aca="false">IF('Grocery Purchases'!B123="","",'Grocery Purchases'!A123)</f>
        <v/>
      </c>
      <c r="B126" s="17" t="str">
        <f aca="false">IF('Grocery Purchases'!B123="","",'Grocery Purchases'!B123)</f>
        <v/>
      </c>
      <c r="C126" s="17" t="str">
        <f aca="false">IF('Grocery Purchases'!B123="","",'Grocery Purchases'!C123)</f>
        <v/>
      </c>
      <c r="D126" s="14" t="str">
        <f aca="false">IF('Grocery Purchases'!B123="","",'Grocery Purchases'!D123)</f>
        <v/>
      </c>
      <c r="E126" s="11" t="str">
        <f aca="false">IF('Grocery Purchases'!B123="","",'Grocery Purchases'!F123)</f>
        <v/>
      </c>
      <c r="F126" s="11" t="str">
        <f aca="false">IF('Grocery Purchases'!B123="","",'Grocery Purchases'!G123)</f>
        <v/>
      </c>
      <c r="G126" s="32" t="str">
        <f aca="false">IF('Grocery Purchases'!B123="","",'Grocery Purchases'!H123)</f>
        <v/>
      </c>
      <c r="H126" s="14" t="str">
        <f aca="false">IF('Grocery Purchases'!B123="","",'Grocery Purchases'!I123)</f>
        <v/>
      </c>
    </row>
    <row r="127" customFormat="false" ht="15" hidden="false" customHeight="true" outlineLevel="0" collapsed="false">
      <c r="A127" s="12" t="str">
        <f aca="false">IF('Grocery Purchases'!B124="","",'Grocery Purchases'!A124)</f>
        <v/>
      </c>
      <c r="B127" s="17" t="str">
        <f aca="false">IF('Grocery Purchases'!B124="","",'Grocery Purchases'!B124)</f>
        <v/>
      </c>
      <c r="C127" s="17" t="str">
        <f aca="false">IF('Grocery Purchases'!B124="","",'Grocery Purchases'!C124)</f>
        <v/>
      </c>
      <c r="D127" s="14" t="str">
        <f aca="false">IF('Grocery Purchases'!B124="","",'Grocery Purchases'!D124)</f>
        <v/>
      </c>
      <c r="E127" s="11" t="str">
        <f aca="false">IF('Grocery Purchases'!B124="","",'Grocery Purchases'!F124)</f>
        <v/>
      </c>
      <c r="F127" s="11" t="str">
        <f aca="false">IF('Grocery Purchases'!B124="","",'Grocery Purchases'!G124)</f>
        <v/>
      </c>
      <c r="G127" s="32" t="str">
        <f aca="false">IF('Grocery Purchases'!B124="","",'Grocery Purchases'!H124)</f>
        <v/>
      </c>
      <c r="H127" s="14" t="str">
        <f aca="false">IF('Grocery Purchases'!B124="","",'Grocery Purchases'!I124)</f>
        <v/>
      </c>
    </row>
    <row r="128" customFormat="false" ht="15" hidden="false" customHeight="true" outlineLevel="0" collapsed="false">
      <c r="A128" s="12" t="str">
        <f aca="false">IF('Grocery Purchases'!B125="","",'Grocery Purchases'!A125)</f>
        <v/>
      </c>
      <c r="B128" s="17" t="str">
        <f aca="false">IF('Grocery Purchases'!B125="","",'Grocery Purchases'!B125)</f>
        <v/>
      </c>
      <c r="C128" s="17" t="str">
        <f aca="false">IF('Grocery Purchases'!B125="","",'Grocery Purchases'!C125)</f>
        <v/>
      </c>
      <c r="D128" s="14" t="str">
        <f aca="false">IF('Grocery Purchases'!B125="","",'Grocery Purchases'!D125)</f>
        <v/>
      </c>
      <c r="E128" s="11" t="str">
        <f aca="false">IF('Grocery Purchases'!B125="","",'Grocery Purchases'!F125)</f>
        <v/>
      </c>
      <c r="F128" s="11" t="str">
        <f aca="false">IF('Grocery Purchases'!B125="","",'Grocery Purchases'!G125)</f>
        <v/>
      </c>
      <c r="G128" s="32" t="str">
        <f aca="false">IF('Grocery Purchases'!B125="","",'Grocery Purchases'!H125)</f>
        <v/>
      </c>
      <c r="H128" s="14" t="str">
        <f aca="false">IF('Grocery Purchases'!B125="","",'Grocery Purchases'!I125)</f>
        <v/>
      </c>
    </row>
    <row r="129" customFormat="false" ht="15" hidden="false" customHeight="true" outlineLevel="0" collapsed="false">
      <c r="A129" s="12" t="str">
        <f aca="false">IF('Grocery Purchases'!B126="","",'Grocery Purchases'!A126)</f>
        <v/>
      </c>
      <c r="B129" s="17" t="str">
        <f aca="false">IF('Grocery Purchases'!B126="","",'Grocery Purchases'!B126)</f>
        <v/>
      </c>
      <c r="C129" s="17" t="str">
        <f aca="false">IF('Grocery Purchases'!B126="","",'Grocery Purchases'!C126)</f>
        <v/>
      </c>
      <c r="D129" s="14" t="str">
        <f aca="false">IF('Grocery Purchases'!B126="","",'Grocery Purchases'!D126)</f>
        <v/>
      </c>
      <c r="E129" s="11" t="str">
        <f aca="false">IF('Grocery Purchases'!B126="","",'Grocery Purchases'!F126)</f>
        <v/>
      </c>
      <c r="F129" s="11" t="str">
        <f aca="false">IF('Grocery Purchases'!B126="","",'Grocery Purchases'!G126)</f>
        <v/>
      </c>
      <c r="G129" s="32" t="str">
        <f aca="false">IF('Grocery Purchases'!B126="","",'Grocery Purchases'!H126)</f>
        <v/>
      </c>
      <c r="H129" s="14" t="str">
        <f aca="false">IF('Grocery Purchases'!B126="","",'Grocery Purchases'!I126)</f>
        <v/>
      </c>
    </row>
    <row r="130" customFormat="false" ht="15" hidden="false" customHeight="true" outlineLevel="0" collapsed="false">
      <c r="A130" s="12" t="str">
        <f aca="false">IF('Grocery Purchases'!B127="","",'Grocery Purchases'!A127)</f>
        <v/>
      </c>
      <c r="B130" s="17" t="str">
        <f aca="false">IF('Grocery Purchases'!B127="","",'Grocery Purchases'!B127)</f>
        <v/>
      </c>
      <c r="C130" s="17" t="str">
        <f aca="false">IF('Grocery Purchases'!B127="","",'Grocery Purchases'!C127)</f>
        <v/>
      </c>
      <c r="D130" s="14" t="str">
        <f aca="false">IF('Grocery Purchases'!B127="","",'Grocery Purchases'!D127)</f>
        <v/>
      </c>
      <c r="E130" s="11" t="str">
        <f aca="false">IF('Grocery Purchases'!B127="","",'Grocery Purchases'!F127)</f>
        <v/>
      </c>
      <c r="F130" s="11" t="str">
        <f aca="false">IF('Grocery Purchases'!B127="","",'Grocery Purchases'!G127)</f>
        <v/>
      </c>
      <c r="G130" s="32" t="str">
        <f aca="false">IF('Grocery Purchases'!B127="","",'Grocery Purchases'!H127)</f>
        <v/>
      </c>
      <c r="H130" s="14" t="str">
        <f aca="false">IF('Grocery Purchases'!B127="","",'Grocery Purchases'!I127)</f>
        <v/>
      </c>
    </row>
    <row r="131" customFormat="false" ht="15" hidden="false" customHeight="true" outlineLevel="0" collapsed="false">
      <c r="A131" s="12" t="str">
        <f aca="false">IF('Grocery Purchases'!B128="","",'Grocery Purchases'!A128)</f>
        <v/>
      </c>
      <c r="B131" s="17" t="str">
        <f aca="false">IF('Grocery Purchases'!B128="","",'Grocery Purchases'!B128)</f>
        <v/>
      </c>
      <c r="C131" s="17" t="str">
        <f aca="false">IF('Grocery Purchases'!B128="","",'Grocery Purchases'!C128)</f>
        <v/>
      </c>
      <c r="D131" s="14" t="str">
        <f aca="false">IF('Grocery Purchases'!B128="","",'Grocery Purchases'!D128)</f>
        <v/>
      </c>
      <c r="E131" s="11" t="str">
        <f aca="false">IF('Grocery Purchases'!B128="","",'Grocery Purchases'!F128)</f>
        <v/>
      </c>
      <c r="F131" s="11" t="str">
        <f aca="false">IF('Grocery Purchases'!B128="","",'Grocery Purchases'!G128)</f>
        <v/>
      </c>
      <c r="G131" s="32" t="str">
        <f aca="false">IF('Grocery Purchases'!B128="","",'Grocery Purchases'!H128)</f>
        <v/>
      </c>
      <c r="H131" s="14" t="str">
        <f aca="false">IF('Grocery Purchases'!B128="","",'Grocery Purchases'!I128)</f>
        <v/>
      </c>
    </row>
    <row r="132" customFormat="false" ht="15" hidden="false" customHeight="true" outlineLevel="0" collapsed="false">
      <c r="A132" s="12" t="str">
        <f aca="false">IF('Grocery Purchases'!B129="","",'Grocery Purchases'!A129)</f>
        <v/>
      </c>
      <c r="B132" s="17" t="str">
        <f aca="false">IF('Grocery Purchases'!B129="","",'Grocery Purchases'!B129)</f>
        <v/>
      </c>
      <c r="C132" s="17" t="str">
        <f aca="false">IF('Grocery Purchases'!B129="","",'Grocery Purchases'!C129)</f>
        <v/>
      </c>
      <c r="D132" s="14" t="str">
        <f aca="false">IF('Grocery Purchases'!B129="","",'Grocery Purchases'!D129)</f>
        <v/>
      </c>
      <c r="E132" s="11" t="str">
        <f aca="false">IF('Grocery Purchases'!B129="","",'Grocery Purchases'!F129)</f>
        <v/>
      </c>
      <c r="F132" s="11" t="str">
        <f aca="false">IF('Grocery Purchases'!B129="","",'Grocery Purchases'!G129)</f>
        <v/>
      </c>
      <c r="G132" s="32" t="str">
        <f aca="false">IF('Grocery Purchases'!B129="","",'Grocery Purchases'!H129)</f>
        <v/>
      </c>
      <c r="H132" s="14" t="str">
        <f aca="false">IF('Grocery Purchases'!B129="","",'Grocery Purchases'!I129)</f>
        <v/>
      </c>
    </row>
    <row r="133" customFormat="false" ht="15" hidden="false" customHeight="true" outlineLevel="0" collapsed="false">
      <c r="A133" s="12" t="str">
        <f aca="false">IF('Grocery Purchases'!B130="","",'Grocery Purchases'!A130)</f>
        <v/>
      </c>
      <c r="B133" s="17" t="str">
        <f aca="false">IF('Grocery Purchases'!B130="","",'Grocery Purchases'!B130)</f>
        <v/>
      </c>
      <c r="C133" s="17" t="str">
        <f aca="false">IF('Grocery Purchases'!B130="","",'Grocery Purchases'!C130)</f>
        <v/>
      </c>
      <c r="D133" s="14" t="str">
        <f aca="false">IF('Grocery Purchases'!B130="","",'Grocery Purchases'!D130)</f>
        <v/>
      </c>
      <c r="E133" s="11" t="str">
        <f aca="false">IF('Grocery Purchases'!B130="","",'Grocery Purchases'!F130)</f>
        <v/>
      </c>
      <c r="F133" s="11" t="str">
        <f aca="false">IF('Grocery Purchases'!B130="","",'Grocery Purchases'!G130)</f>
        <v/>
      </c>
      <c r="G133" s="32" t="str">
        <f aca="false">IF('Grocery Purchases'!B130="","",'Grocery Purchases'!H130)</f>
        <v/>
      </c>
      <c r="H133" s="14" t="str">
        <f aca="false">IF('Grocery Purchases'!B130="","",'Grocery Purchases'!I130)</f>
        <v/>
      </c>
    </row>
    <row r="134" customFormat="false" ht="15" hidden="false" customHeight="true" outlineLevel="0" collapsed="false">
      <c r="A134" s="12" t="str">
        <f aca="false">IF('Grocery Purchases'!B131="","",'Grocery Purchases'!A131)</f>
        <v/>
      </c>
      <c r="B134" s="17" t="str">
        <f aca="false">IF('Grocery Purchases'!B131="","",'Grocery Purchases'!B131)</f>
        <v/>
      </c>
      <c r="C134" s="17" t="str">
        <f aca="false">IF('Grocery Purchases'!B131="","",'Grocery Purchases'!C131)</f>
        <v/>
      </c>
      <c r="D134" s="14" t="str">
        <f aca="false">IF('Grocery Purchases'!B131="","",'Grocery Purchases'!D131)</f>
        <v/>
      </c>
      <c r="E134" s="11" t="str">
        <f aca="false">IF('Grocery Purchases'!B131="","",'Grocery Purchases'!F131)</f>
        <v/>
      </c>
      <c r="F134" s="11" t="str">
        <f aca="false">IF('Grocery Purchases'!B131="","",'Grocery Purchases'!G131)</f>
        <v/>
      </c>
      <c r="G134" s="32" t="str">
        <f aca="false">IF('Grocery Purchases'!B131="","",'Grocery Purchases'!H131)</f>
        <v/>
      </c>
      <c r="H134" s="14" t="str">
        <f aca="false">IF('Grocery Purchases'!B131="","",'Grocery Purchases'!I131)</f>
        <v/>
      </c>
    </row>
    <row r="135" customFormat="false" ht="15" hidden="false" customHeight="true" outlineLevel="0" collapsed="false">
      <c r="A135" s="12" t="str">
        <f aca="false">IF('Grocery Purchases'!B132="","",'Grocery Purchases'!A132)</f>
        <v/>
      </c>
      <c r="B135" s="17" t="str">
        <f aca="false">IF('Grocery Purchases'!B132="","",'Grocery Purchases'!B132)</f>
        <v/>
      </c>
      <c r="C135" s="17" t="str">
        <f aca="false">IF('Grocery Purchases'!B132="","",'Grocery Purchases'!C132)</f>
        <v/>
      </c>
      <c r="D135" s="14" t="str">
        <f aca="false">IF('Grocery Purchases'!B132="","",'Grocery Purchases'!D132)</f>
        <v/>
      </c>
      <c r="E135" s="11" t="str">
        <f aca="false">IF('Grocery Purchases'!B132="","",'Grocery Purchases'!F132)</f>
        <v/>
      </c>
      <c r="F135" s="11" t="str">
        <f aca="false">IF('Grocery Purchases'!B132="","",'Grocery Purchases'!G132)</f>
        <v/>
      </c>
      <c r="G135" s="32" t="str">
        <f aca="false">IF('Grocery Purchases'!B132="","",'Grocery Purchases'!H132)</f>
        <v/>
      </c>
      <c r="H135" s="14" t="str">
        <f aca="false">IF('Grocery Purchases'!B132="","",'Grocery Purchases'!I132)</f>
        <v/>
      </c>
    </row>
    <row r="136" customFormat="false" ht="15" hidden="false" customHeight="true" outlineLevel="0" collapsed="false">
      <c r="A136" s="12" t="str">
        <f aca="false">IF('Grocery Purchases'!B133="","",'Grocery Purchases'!A133)</f>
        <v/>
      </c>
      <c r="B136" s="17" t="str">
        <f aca="false">IF('Grocery Purchases'!B133="","",'Grocery Purchases'!B133)</f>
        <v/>
      </c>
      <c r="C136" s="17" t="str">
        <f aca="false">IF('Grocery Purchases'!B133="","",'Grocery Purchases'!C133)</f>
        <v/>
      </c>
      <c r="D136" s="14" t="str">
        <f aca="false">IF('Grocery Purchases'!B133="","",'Grocery Purchases'!D133)</f>
        <v/>
      </c>
      <c r="E136" s="11" t="str">
        <f aca="false">IF('Grocery Purchases'!B133="","",'Grocery Purchases'!F133)</f>
        <v/>
      </c>
      <c r="F136" s="11" t="str">
        <f aca="false">IF('Grocery Purchases'!B133="","",'Grocery Purchases'!G133)</f>
        <v/>
      </c>
      <c r="G136" s="32" t="str">
        <f aca="false">IF('Grocery Purchases'!B133="","",'Grocery Purchases'!H133)</f>
        <v/>
      </c>
      <c r="H136" s="14" t="str">
        <f aca="false">IF('Grocery Purchases'!B133="","",'Grocery Purchases'!I133)</f>
        <v/>
      </c>
    </row>
    <row r="137" customFormat="false" ht="15" hidden="false" customHeight="true" outlineLevel="0" collapsed="false">
      <c r="A137" s="12" t="str">
        <f aca="false">IF('Grocery Purchases'!B134="","",'Grocery Purchases'!A134)</f>
        <v/>
      </c>
      <c r="B137" s="17" t="str">
        <f aca="false">IF('Grocery Purchases'!B134="","",'Grocery Purchases'!B134)</f>
        <v/>
      </c>
      <c r="C137" s="17" t="str">
        <f aca="false">IF('Grocery Purchases'!B134="","",'Grocery Purchases'!C134)</f>
        <v/>
      </c>
      <c r="D137" s="14" t="str">
        <f aca="false">IF('Grocery Purchases'!B134="","",'Grocery Purchases'!D134)</f>
        <v/>
      </c>
      <c r="E137" s="11" t="str">
        <f aca="false">IF('Grocery Purchases'!B134="","",'Grocery Purchases'!F134)</f>
        <v/>
      </c>
      <c r="F137" s="11" t="str">
        <f aca="false">IF('Grocery Purchases'!B134="","",'Grocery Purchases'!G134)</f>
        <v/>
      </c>
      <c r="G137" s="32" t="str">
        <f aca="false">IF('Grocery Purchases'!B134="","",'Grocery Purchases'!H134)</f>
        <v/>
      </c>
      <c r="H137" s="14" t="str">
        <f aca="false">IF('Grocery Purchases'!B134="","",'Grocery Purchases'!I134)</f>
        <v/>
      </c>
    </row>
    <row r="138" customFormat="false" ht="15" hidden="false" customHeight="true" outlineLevel="0" collapsed="false">
      <c r="A138" s="12" t="str">
        <f aca="false">IF('Grocery Purchases'!B135="","",'Grocery Purchases'!A135)</f>
        <v/>
      </c>
      <c r="B138" s="17" t="str">
        <f aca="false">IF('Grocery Purchases'!B135="","",'Grocery Purchases'!B135)</f>
        <v/>
      </c>
      <c r="C138" s="17" t="str">
        <f aca="false">IF('Grocery Purchases'!B135="","",'Grocery Purchases'!C135)</f>
        <v/>
      </c>
      <c r="D138" s="14" t="str">
        <f aca="false">IF('Grocery Purchases'!B135="","",'Grocery Purchases'!D135)</f>
        <v/>
      </c>
      <c r="E138" s="11" t="str">
        <f aca="false">IF('Grocery Purchases'!B135="","",'Grocery Purchases'!F135)</f>
        <v/>
      </c>
      <c r="F138" s="11" t="str">
        <f aca="false">IF('Grocery Purchases'!B135="","",'Grocery Purchases'!G135)</f>
        <v/>
      </c>
      <c r="G138" s="32" t="str">
        <f aca="false">IF('Grocery Purchases'!B135="","",'Grocery Purchases'!H135)</f>
        <v/>
      </c>
      <c r="H138" s="14" t="str">
        <f aca="false">IF('Grocery Purchases'!B135="","",'Grocery Purchases'!I135)</f>
        <v/>
      </c>
    </row>
    <row r="139" customFormat="false" ht="15" hidden="false" customHeight="true" outlineLevel="0" collapsed="false">
      <c r="A139" s="12" t="str">
        <f aca="false">IF('Grocery Purchases'!B136="","",'Grocery Purchases'!A136)</f>
        <v/>
      </c>
      <c r="B139" s="17" t="str">
        <f aca="false">IF('Grocery Purchases'!B136="","",'Grocery Purchases'!B136)</f>
        <v/>
      </c>
      <c r="C139" s="17" t="str">
        <f aca="false">IF('Grocery Purchases'!B136="","",'Grocery Purchases'!C136)</f>
        <v/>
      </c>
      <c r="D139" s="14" t="str">
        <f aca="false">IF('Grocery Purchases'!B136="","",'Grocery Purchases'!D136)</f>
        <v/>
      </c>
      <c r="E139" s="11" t="str">
        <f aca="false">IF('Grocery Purchases'!B136="","",'Grocery Purchases'!F136)</f>
        <v/>
      </c>
      <c r="F139" s="11" t="str">
        <f aca="false">IF('Grocery Purchases'!B136="","",'Grocery Purchases'!G136)</f>
        <v/>
      </c>
      <c r="G139" s="32" t="str">
        <f aca="false">IF('Grocery Purchases'!B136="","",'Grocery Purchases'!H136)</f>
        <v/>
      </c>
      <c r="H139" s="14" t="str">
        <f aca="false">IF('Grocery Purchases'!B136="","",'Grocery Purchases'!I136)</f>
        <v/>
      </c>
    </row>
    <row r="140" customFormat="false" ht="15" hidden="false" customHeight="true" outlineLevel="0" collapsed="false">
      <c r="A140" s="12" t="str">
        <f aca="false">IF('Grocery Purchases'!B137="","",'Grocery Purchases'!A137)</f>
        <v/>
      </c>
      <c r="B140" s="17" t="str">
        <f aca="false">IF('Grocery Purchases'!B137="","",'Grocery Purchases'!B137)</f>
        <v/>
      </c>
      <c r="C140" s="17" t="str">
        <f aca="false">IF('Grocery Purchases'!B137="","",'Grocery Purchases'!C137)</f>
        <v/>
      </c>
      <c r="D140" s="14" t="str">
        <f aca="false">IF('Grocery Purchases'!B137="","",'Grocery Purchases'!D137)</f>
        <v/>
      </c>
      <c r="E140" s="11" t="str">
        <f aca="false">IF('Grocery Purchases'!B137="","",'Grocery Purchases'!F137)</f>
        <v/>
      </c>
      <c r="F140" s="11" t="str">
        <f aca="false">IF('Grocery Purchases'!B137="","",'Grocery Purchases'!G137)</f>
        <v/>
      </c>
      <c r="G140" s="32" t="str">
        <f aca="false">IF('Grocery Purchases'!B137="","",'Grocery Purchases'!H137)</f>
        <v/>
      </c>
      <c r="H140" s="14" t="str">
        <f aca="false">IF('Grocery Purchases'!B137="","",'Grocery Purchases'!I137)</f>
        <v/>
      </c>
    </row>
    <row r="141" customFormat="false" ht="15" hidden="false" customHeight="true" outlineLevel="0" collapsed="false">
      <c r="A141" s="12" t="str">
        <f aca="false">IF('Grocery Purchases'!B138="","",'Grocery Purchases'!A138)</f>
        <v/>
      </c>
      <c r="B141" s="17" t="str">
        <f aca="false">IF('Grocery Purchases'!B138="","",'Grocery Purchases'!B138)</f>
        <v/>
      </c>
      <c r="C141" s="17" t="str">
        <f aca="false">IF('Grocery Purchases'!B138="","",'Grocery Purchases'!C138)</f>
        <v/>
      </c>
      <c r="D141" s="14" t="str">
        <f aca="false">IF('Grocery Purchases'!B138="","",'Grocery Purchases'!D138)</f>
        <v/>
      </c>
      <c r="E141" s="11" t="str">
        <f aca="false">IF('Grocery Purchases'!B138="","",'Grocery Purchases'!F138)</f>
        <v/>
      </c>
      <c r="F141" s="11" t="str">
        <f aca="false">IF('Grocery Purchases'!B138="","",'Grocery Purchases'!G138)</f>
        <v/>
      </c>
      <c r="G141" s="32" t="str">
        <f aca="false">IF('Grocery Purchases'!B138="","",'Grocery Purchases'!H138)</f>
        <v/>
      </c>
      <c r="H141" s="14" t="str">
        <f aca="false">IF('Grocery Purchases'!B138="","",'Grocery Purchases'!I138)</f>
        <v/>
      </c>
    </row>
    <row r="142" customFormat="false" ht="15" hidden="false" customHeight="true" outlineLevel="0" collapsed="false">
      <c r="A142" s="12" t="str">
        <f aca="false">IF('Grocery Purchases'!B139="","",'Grocery Purchases'!A139)</f>
        <v/>
      </c>
      <c r="B142" s="17" t="str">
        <f aca="false">IF('Grocery Purchases'!B139="","",'Grocery Purchases'!B139)</f>
        <v/>
      </c>
      <c r="C142" s="17" t="str">
        <f aca="false">IF('Grocery Purchases'!B139="","",'Grocery Purchases'!C139)</f>
        <v/>
      </c>
      <c r="D142" s="14" t="str">
        <f aca="false">IF('Grocery Purchases'!B139="","",'Grocery Purchases'!D139)</f>
        <v/>
      </c>
      <c r="E142" s="11" t="str">
        <f aca="false">IF('Grocery Purchases'!B139="","",'Grocery Purchases'!F139)</f>
        <v/>
      </c>
      <c r="F142" s="11" t="str">
        <f aca="false">IF('Grocery Purchases'!B139="","",'Grocery Purchases'!G139)</f>
        <v/>
      </c>
      <c r="G142" s="32" t="str">
        <f aca="false">IF('Grocery Purchases'!B139="","",'Grocery Purchases'!H139)</f>
        <v/>
      </c>
      <c r="H142" s="14" t="str">
        <f aca="false">IF('Grocery Purchases'!B139="","",'Grocery Purchases'!I139)</f>
        <v/>
      </c>
    </row>
    <row r="143" customFormat="false" ht="15" hidden="false" customHeight="true" outlineLevel="0" collapsed="false">
      <c r="A143" s="12" t="str">
        <f aca="false">IF('Grocery Purchases'!B140="","",'Grocery Purchases'!A140)</f>
        <v/>
      </c>
      <c r="B143" s="17" t="str">
        <f aca="false">IF('Grocery Purchases'!B140="","",'Grocery Purchases'!B140)</f>
        <v/>
      </c>
      <c r="C143" s="17" t="str">
        <f aca="false">IF('Grocery Purchases'!B140="","",'Grocery Purchases'!C140)</f>
        <v/>
      </c>
      <c r="D143" s="14" t="str">
        <f aca="false">IF('Grocery Purchases'!B140="","",'Grocery Purchases'!D140)</f>
        <v/>
      </c>
      <c r="E143" s="11" t="str">
        <f aca="false">IF('Grocery Purchases'!B140="","",'Grocery Purchases'!F140)</f>
        <v/>
      </c>
      <c r="F143" s="11" t="str">
        <f aca="false">IF('Grocery Purchases'!B140="","",'Grocery Purchases'!G140)</f>
        <v/>
      </c>
      <c r="G143" s="32" t="str">
        <f aca="false">IF('Grocery Purchases'!B140="","",'Grocery Purchases'!H140)</f>
        <v/>
      </c>
      <c r="H143" s="14" t="str">
        <f aca="false">IF('Grocery Purchases'!B140="","",'Grocery Purchases'!I140)</f>
        <v/>
      </c>
    </row>
    <row r="144" customFormat="false" ht="15" hidden="false" customHeight="true" outlineLevel="0" collapsed="false">
      <c r="A144" s="12" t="str">
        <f aca="false">IF('Grocery Purchases'!B141="","",'Grocery Purchases'!A141)</f>
        <v/>
      </c>
      <c r="B144" s="17" t="str">
        <f aca="false">IF('Grocery Purchases'!B141="","",'Grocery Purchases'!B141)</f>
        <v/>
      </c>
      <c r="C144" s="17" t="str">
        <f aca="false">IF('Grocery Purchases'!B141="","",'Grocery Purchases'!C141)</f>
        <v/>
      </c>
      <c r="D144" s="14" t="str">
        <f aca="false">IF('Grocery Purchases'!B141="","",'Grocery Purchases'!D141)</f>
        <v/>
      </c>
      <c r="E144" s="11" t="str">
        <f aca="false">IF('Grocery Purchases'!B141="","",'Grocery Purchases'!F141)</f>
        <v/>
      </c>
      <c r="F144" s="11" t="str">
        <f aca="false">IF('Grocery Purchases'!B141="","",'Grocery Purchases'!G141)</f>
        <v/>
      </c>
      <c r="G144" s="32" t="str">
        <f aca="false">IF('Grocery Purchases'!B141="","",'Grocery Purchases'!H141)</f>
        <v/>
      </c>
      <c r="H144" s="14" t="str">
        <f aca="false">IF('Grocery Purchases'!B141="","",'Grocery Purchases'!I141)</f>
        <v/>
      </c>
    </row>
    <row r="145" customFormat="false" ht="15" hidden="false" customHeight="true" outlineLevel="0" collapsed="false">
      <c r="A145" s="12" t="str">
        <f aca="false">IF('Grocery Purchases'!B142="","",'Grocery Purchases'!A142)</f>
        <v/>
      </c>
      <c r="B145" s="17" t="str">
        <f aca="false">IF('Grocery Purchases'!B142="","",'Grocery Purchases'!B142)</f>
        <v/>
      </c>
      <c r="C145" s="17" t="str">
        <f aca="false">IF('Grocery Purchases'!B142="","",'Grocery Purchases'!C142)</f>
        <v/>
      </c>
      <c r="D145" s="14" t="str">
        <f aca="false">IF('Grocery Purchases'!B142="","",'Grocery Purchases'!D142)</f>
        <v/>
      </c>
      <c r="E145" s="11" t="str">
        <f aca="false">IF('Grocery Purchases'!B142="","",'Grocery Purchases'!F142)</f>
        <v/>
      </c>
      <c r="F145" s="11" t="str">
        <f aca="false">IF('Grocery Purchases'!B142="","",'Grocery Purchases'!G142)</f>
        <v/>
      </c>
      <c r="G145" s="32" t="str">
        <f aca="false">IF('Grocery Purchases'!B142="","",'Grocery Purchases'!H142)</f>
        <v/>
      </c>
      <c r="H145" s="14" t="str">
        <f aca="false">IF('Grocery Purchases'!B142="","",'Grocery Purchases'!I142)</f>
        <v/>
      </c>
    </row>
    <row r="146" customFormat="false" ht="15" hidden="false" customHeight="true" outlineLevel="0" collapsed="false">
      <c r="A146" s="12" t="str">
        <f aca="false">IF('Grocery Purchases'!B143="","",'Grocery Purchases'!A143)</f>
        <v/>
      </c>
      <c r="B146" s="17" t="str">
        <f aca="false">IF('Grocery Purchases'!B143="","",'Grocery Purchases'!B143)</f>
        <v/>
      </c>
      <c r="C146" s="17" t="str">
        <f aca="false">IF('Grocery Purchases'!B143="","",'Grocery Purchases'!C143)</f>
        <v/>
      </c>
      <c r="D146" s="14" t="str">
        <f aca="false">IF('Grocery Purchases'!B143="","",'Grocery Purchases'!D143)</f>
        <v/>
      </c>
      <c r="E146" s="11" t="str">
        <f aca="false">IF('Grocery Purchases'!B143="","",'Grocery Purchases'!F143)</f>
        <v/>
      </c>
      <c r="F146" s="11" t="str">
        <f aca="false">IF('Grocery Purchases'!B143="","",'Grocery Purchases'!G143)</f>
        <v/>
      </c>
      <c r="G146" s="32" t="str">
        <f aca="false">IF('Grocery Purchases'!B143="","",'Grocery Purchases'!H143)</f>
        <v/>
      </c>
      <c r="H146" s="14" t="str">
        <f aca="false">IF('Grocery Purchases'!B143="","",'Grocery Purchases'!I143)</f>
        <v/>
      </c>
    </row>
    <row r="147" customFormat="false" ht="15" hidden="false" customHeight="true" outlineLevel="0" collapsed="false">
      <c r="A147" s="12" t="str">
        <f aca="false">IF('Grocery Purchases'!B144="","",'Grocery Purchases'!A144)</f>
        <v/>
      </c>
      <c r="B147" s="17" t="str">
        <f aca="false">IF('Grocery Purchases'!B144="","",'Grocery Purchases'!B144)</f>
        <v/>
      </c>
      <c r="C147" s="17" t="str">
        <f aca="false">IF('Grocery Purchases'!B144="","",'Grocery Purchases'!C144)</f>
        <v/>
      </c>
      <c r="D147" s="14" t="str">
        <f aca="false">IF('Grocery Purchases'!B144="","",'Grocery Purchases'!D144)</f>
        <v/>
      </c>
      <c r="E147" s="11" t="str">
        <f aca="false">IF('Grocery Purchases'!B144="","",'Grocery Purchases'!F144)</f>
        <v/>
      </c>
      <c r="F147" s="11" t="str">
        <f aca="false">IF('Grocery Purchases'!B144="","",'Grocery Purchases'!G144)</f>
        <v/>
      </c>
      <c r="G147" s="32" t="str">
        <f aca="false">IF('Grocery Purchases'!B144="","",'Grocery Purchases'!H144)</f>
        <v/>
      </c>
      <c r="H147" s="14" t="str">
        <f aca="false">IF('Grocery Purchases'!B144="","",'Grocery Purchases'!I144)</f>
        <v/>
      </c>
    </row>
    <row r="148" customFormat="false" ht="15" hidden="false" customHeight="true" outlineLevel="0" collapsed="false">
      <c r="A148" s="12" t="str">
        <f aca="false">IF('Grocery Purchases'!B145="","",'Grocery Purchases'!A145)</f>
        <v/>
      </c>
      <c r="B148" s="17" t="str">
        <f aca="false">IF('Grocery Purchases'!B145="","",'Grocery Purchases'!B145)</f>
        <v/>
      </c>
      <c r="C148" s="17" t="str">
        <f aca="false">IF('Grocery Purchases'!B145="","",'Grocery Purchases'!C145)</f>
        <v/>
      </c>
      <c r="D148" s="14" t="str">
        <f aca="false">IF('Grocery Purchases'!B145="","",'Grocery Purchases'!D145)</f>
        <v/>
      </c>
      <c r="E148" s="11" t="str">
        <f aca="false">IF('Grocery Purchases'!B145="","",'Grocery Purchases'!F145)</f>
        <v/>
      </c>
      <c r="F148" s="11" t="str">
        <f aca="false">IF('Grocery Purchases'!B145="","",'Grocery Purchases'!G145)</f>
        <v/>
      </c>
      <c r="G148" s="32" t="str">
        <f aca="false">IF('Grocery Purchases'!B145="","",'Grocery Purchases'!H145)</f>
        <v/>
      </c>
      <c r="H148" s="14" t="str">
        <f aca="false">IF('Grocery Purchases'!B145="","",'Grocery Purchases'!I145)</f>
        <v/>
      </c>
    </row>
    <row r="149" customFormat="false" ht="15" hidden="false" customHeight="true" outlineLevel="0" collapsed="false">
      <c r="A149" s="12" t="str">
        <f aca="false">IF('Grocery Purchases'!B146="","",'Grocery Purchases'!A146)</f>
        <v/>
      </c>
      <c r="B149" s="17" t="str">
        <f aca="false">IF('Grocery Purchases'!B146="","",'Grocery Purchases'!B146)</f>
        <v/>
      </c>
      <c r="C149" s="17" t="str">
        <f aca="false">IF('Grocery Purchases'!B146="","",'Grocery Purchases'!C146)</f>
        <v/>
      </c>
      <c r="D149" s="14" t="str">
        <f aca="false">IF('Grocery Purchases'!B146="","",'Grocery Purchases'!D146)</f>
        <v/>
      </c>
      <c r="E149" s="11" t="str">
        <f aca="false">IF('Grocery Purchases'!B146="","",'Grocery Purchases'!F146)</f>
        <v/>
      </c>
      <c r="F149" s="11" t="str">
        <f aca="false">IF('Grocery Purchases'!B146="","",'Grocery Purchases'!G146)</f>
        <v/>
      </c>
      <c r="G149" s="32" t="str">
        <f aca="false">IF('Grocery Purchases'!B146="","",'Grocery Purchases'!H146)</f>
        <v/>
      </c>
      <c r="H149" s="14" t="str">
        <f aca="false">IF('Grocery Purchases'!B146="","",'Grocery Purchases'!I146)</f>
        <v/>
      </c>
    </row>
    <row r="150" customFormat="false" ht="15" hidden="false" customHeight="true" outlineLevel="0" collapsed="false">
      <c r="A150" s="12" t="str">
        <f aca="false">IF('Grocery Purchases'!B147="","",'Grocery Purchases'!A147)</f>
        <v/>
      </c>
      <c r="B150" s="17" t="str">
        <f aca="false">IF('Grocery Purchases'!B147="","",'Grocery Purchases'!B147)</f>
        <v/>
      </c>
      <c r="C150" s="17" t="str">
        <f aca="false">IF('Grocery Purchases'!B147="","",'Grocery Purchases'!C147)</f>
        <v/>
      </c>
      <c r="D150" s="14" t="str">
        <f aca="false">IF('Grocery Purchases'!B147="","",'Grocery Purchases'!D147)</f>
        <v/>
      </c>
      <c r="E150" s="11" t="str">
        <f aca="false">IF('Grocery Purchases'!B147="","",'Grocery Purchases'!F147)</f>
        <v/>
      </c>
      <c r="F150" s="11" t="str">
        <f aca="false">IF('Grocery Purchases'!B147="","",'Grocery Purchases'!G147)</f>
        <v/>
      </c>
      <c r="G150" s="32" t="str">
        <f aca="false">IF('Grocery Purchases'!B147="","",'Grocery Purchases'!H147)</f>
        <v/>
      </c>
      <c r="H150" s="14" t="str">
        <f aca="false">IF('Grocery Purchases'!B147="","",'Grocery Purchases'!I147)</f>
        <v/>
      </c>
    </row>
    <row r="151" customFormat="false" ht="15" hidden="false" customHeight="true" outlineLevel="0" collapsed="false">
      <c r="A151" s="12" t="str">
        <f aca="false">IF('Grocery Purchases'!B148="","",'Grocery Purchases'!A148)</f>
        <v/>
      </c>
      <c r="B151" s="17" t="str">
        <f aca="false">IF('Grocery Purchases'!B148="","",'Grocery Purchases'!B148)</f>
        <v/>
      </c>
      <c r="C151" s="17" t="str">
        <f aca="false">IF('Grocery Purchases'!B148="","",'Grocery Purchases'!C148)</f>
        <v/>
      </c>
      <c r="D151" s="14" t="str">
        <f aca="false">IF('Grocery Purchases'!B148="","",'Grocery Purchases'!D148)</f>
        <v/>
      </c>
      <c r="E151" s="11" t="str">
        <f aca="false">IF('Grocery Purchases'!B148="","",'Grocery Purchases'!F148)</f>
        <v/>
      </c>
      <c r="F151" s="11" t="str">
        <f aca="false">IF('Grocery Purchases'!B148="","",'Grocery Purchases'!G148)</f>
        <v/>
      </c>
      <c r="G151" s="32" t="str">
        <f aca="false">IF('Grocery Purchases'!B148="","",'Grocery Purchases'!H148)</f>
        <v/>
      </c>
      <c r="H151" s="14" t="str">
        <f aca="false">IF('Grocery Purchases'!B148="","",'Grocery Purchases'!I148)</f>
        <v/>
      </c>
    </row>
    <row r="152" customFormat="false" ht="15" hidden="false" customHeight="true" outlineLevel="0" collapsed="false">
      <c r="A152" s="12" t="str">
        <f aca="false">IF('Grocery Purchases'!B149="","",'Grocery Purchases'!A149)</f>
        <v/>
      </c>
      <c r="B152" s="17" t="str">
        <f aca="false">IF('Grocery Purchases'!B149="","",'Grocery Purchases'!B149)</f>
        <v/>
      </c>
      <c r="C152" s="17" t="str">
        <f aca="false">IF('Grocery Purchases'!B149="","",'Grocery Purchases'!C149)</f>
        <v/>
      </c>
      <c r="D152" s="14" t="str">
        <f aca="false">IF('Grocery Purchases'!B149="","",'Grocery Purchases'!D149)</f>
        <v/>
      </c>
      <c r="E152" s="11" t="str">
        <f aca="false">IF('Grocery Purchases'!B149="","",'Grocery Purchases'!F149)</f>
        <v/>
      </c>
      <c r="F152" s="11" t="str">
        <f aca="false">IF('Grocery Purchases'!B149="","",'Grocery Purchases'!G149)</f>
        <v/>
      </c>
      <c r="G152" s="32" t="str">
        <f aca="false">IF('Grocery Purchases'!B149="","",'Grocery Purchases'!H149)</f>
        <v/>
      </c>
      <c r="H152" s="14" t="str">
        <f aca="false">IF('Grocery Purchases'!B149="","",'Grocery Purchases'!I149)</f>
        <v/>
      </c>
    </row>
    <row r="153" customFormat="false" ht="15" hidden="false" customHeight="true" outlineLevel="0" collapsed="false">
      <c r="A153" s="12" t="str">
        <f aca="false">IF('Grocery Purchases'!B150="","",'Grocery Purchases'!A150)</f>
        <v/>
      </c>
      <c r="B153" s="17" t="str">
        <f aca="false">IF('Grocery Purchases'!B150="","",'Grocery Purchases'!B150)</f>
        <v/>
      </c>
      <c r="C153" s="17" t="str">
        <f aca="false">IF('Grocery Purchases'!B150="","",'Grocery Purchases'!C150)</f>
        <v/>
      </c>
      <c r="D153" s="14" t="str">
        <f aca="false">IF('Grocery Purchases'!B150="","",'Grocery Purchases'!D150)</f>
        <v/>
      </c>
      <c r="E153" s="11" t="str">
        <f aca="false">IF('Grocery Purchases'!B150="","",'Grocery Purchases'!F150)</f>
        <v/>
      </c>
      <c r="F153" s="11" t="str">
        <f aca="false">IF('Grocery Purchases'!B150="","",'Grocery Purchases'!G150)</f>
        <v/>
      </c>
      <c r="G153" s="32" t="str">
        <f aca="false">IF('Grocery Purchases'!B150="","",'Grocery Purchases'!H150)</f>
        <v/>
      </c>
      <c r="H153" s="14" t="str">
        <f aca="false">IF('Grocery Purchases'!B150="","",'Grocery Purchases'!I150)</f>
        <v/>
      </c>
    </row>
    <row r="154" customFormat="false" ht="15" hidden="false" customHeight="true" outlineLevel="0" collapsed="false">
      <c r="A154" s="12" t="str">
        <f aca="false">IF('Grocery Purchases'!B151="","",'Grocery Purchases'!A151)</f>
        <v/>
      </c>
      <c r="B154" s="17" t="str">
        <f aca="false">IF('Grocery Purchases'!B151="","",'Grocery Purchases'!B151)</f>
        <v/>
      </c>
      <c r="C154" s="17" t="str">
        <f aca="false">IF('Grocery Purchases'!B151="","",'Grocery Purchases'!C151)</f>
        <v/>
      </c>
      <c r="D154" s="14" t="str">
        <f aca="false">IF('Grocery Purchases'!B151="","",'Grocery Purchases'!D151)</f>
        <v/>
      </c>
      <c r="E154" s="11" t="str">
        <f aca="false">IF('Grocery Purchases'!B151="","",'Grocery Purchases'!F151)</f>
        <v/>
      </c>
      <c r="F154" s="11" t="str">
        <f aca="false">IF('Grocery Purchases'!B151="","",'Grocery Purchases'!G151)</f>
        <v/>
      </c>
      <c r="G154" s="32" t="str">
        <f aca="false">IF('Grocery Purchases'!B151="","",'Grocery Purchases'!H151)</f>
        <v/>
      </c>
      <c r="H154" s="14" t="str">
        <f aca="false">IF('Grocery Purchases'!B151="","",'Grocery Purchases'!I151)</f>
        <v/>
      </c>
    </row>
    <row r="155" customFormat="false" ht="15" hidden="false" customHeight="true" outlineLevel="0" collapsed="false">
      <c r="A155" s="12" t="str">
        <f aca="false">IF('Grocery Purchases'!B152="","",'Grocery Purchases'!A152)</f>
        <v/>
      </c>
      <c r="B155" s="17" t="str">
        <f aca="false">IF('Grocery Purchases'!B152="","",'Grocery Purchases'!B152)</f>
        <v/>
      </c>
      <c r="C155" s="17" t="str">
        <f aca="false">IF('Grocery Purchases'!B152="","",'Grocery Purchases'!C152)</f>
        <v/>
      </c>
      <c r="D155" s="14" t="str">
        <f aca="false">IF('Grocery Purchases'!B152="","",'Grocery Purchases'!D152)</f>
        <v/>
      </c>
      <c r="E155" s="11" t="str">
        <f aca="false">IF('Grocery Purchases'!B152="","",'Grocery Purchases'!F152)</f>
        <v/>
      </c>
      <c r="F155" s="11" t="str">
        <f aca="false">IF('Grocery Purchases'!B152="","",'Grocery Purchases'!G152)</f>
        <v/>
      </c>
      <c r="G155" s="32" t="str">
        <f aca="false">IF('Grocery Purchases'!B152="","",'Grocery Purchases'!H152)</f>
        <v/>
      </c>
      <c r="H155" s="14" t="str">
        <f aca="false">IF('Grocery Purchases'!B152="","",'Grocery Purchases'!I152)</f>
        <v/>
      </c>
    </row>
    <row r="156" customFormat="false" ht="15" hidden="false" customHeight="true" outlineLevel="0" collapsed="false">
      <c r="A156" s="12" t="str">
        <f aca="false">IF('Grocery Purchases'!B153="","",'Grocery Purchases'!A153)</f>
        <v/>
      </c>
      <c r="B156" s="17" t="str">
        <f aca="false">IF('Grocery Purchases'!B153="","",'Grocery Purchases'!B153)</f>
        <v/>
      </c>
      <c r="C156" s="17" t="str">
        <f aca="false">IF('Grocery Purchases'!B153="","",'Grocery Purchases'!C153)</f>
        <v/>
      </c>
      <c r="D156" s="14" t="str">
        <f aca="false">IF('Grocery Purchases'!B153="","",'Grocery Purchases'!D153)</f>
        <v/>
      </c>
      <c r="E156" s="11" t="str">
        <f aca="false">IF('Grocery Purchases'!B153="","",'Grocery Purchases'!F153)</f>
        <v/>
      </c>
      <c r="F156" s="11" t="str">
        <f aca="false">IF('Grocery Purchases'!B153="","",'Grocery Purchases'!G153)</f>
        <v/>
      </c>
      <c r="G156" s="32" t="str">
        <f aca="false">IF('Grocery Purchases'!B153="","",'Grocery Purchases'!H153)</f>
        <v/>
      </c>
      <c r="H156" s="14" t="str">
        <f aca="false">IF('Grocery Purchases'!B153="","",'Grocery Purchases'!I153)</f>
        <v/>
      </c>
    </row>
    <row r="157" customFormat="false" ht="15" hidden="false" customHeight="true" outlineLevel="0" collapsed="false">
      <c r="A157" s="12" t="str">
        <f aca="false">IF('Grocery Purchases'!B154="","",'Grocery Purchases'!A154)</f>
        <v/>
      </c>
      <c r="B157" s="17" t="str">
        <f aca="false">IF('Grocery Purchases'!B154="","",'Grocery Purchases'!B154)</f>
        <v/>
      </c>
      <c r="C157" s="17" t="str">
        <f aca="false">IF('Grocery Purchases'!B154="","",'Grocery Purchases'!C154)</f>
        <v/>
      </c>
      <c r="D157" s="14" t="str">
        <f aca="false">IF('Grocery Purchases'!B154="","",'Grocery Purchases'!D154)</f>
        <v/>
      </c>
      <c r="E157" s="11" t="str">
        <f aca="false">IF('Grocery Purchases'!B154="","",'Grocery Purchases'!F154)</f>
        <v/>
      </c>
      <c r="F157" s="11" t="str">
        <f aca="false">IF('Grocery Purchases'!B154="","",'Grocery Purchases'!G154)</f>
        <v/>
      </c>
      <c r="G157" s="32" t="str">
        <f aca="false">IF('Grocery Purchases'!B154="","",'Grocery Purchases'!H154)</f>
        <v/>
      </c>
      <c r="H157" s="14" t="str">
        <f aca="false">IF('Grocery Purchases'!B154="","",'Grocery Purchases'!I154)</f>
        <v/>
      </c>
    </row>
    <row r="158" customFormat="false" ht="15" hidden="false" customHeight="true" outlineLevel="0" collapsed="false">
      <c r="A158" s="12" t="str">
        <f aca="false">IF('Grocery Purchases'!B155="","",'Grocery Purchases'!A155)</f>
        <v/>
      </c>
      <c r="B158" s="17" t="str">
        <f aca="false">IF('Grocery Purchases'!B155="","",'Grocery Purchases'!B155)</f>
        <v/>
      </c>
      <c r="C158" s="17" t="str">
        <f aca="false">IF('Grocery Purchases'!B155="","",'Grocery Purchases'!C155)</f>
        <v/>
      </c>
      <c r="D158" s="14" t="str">
        <f aca="false">IF('Grocery Purchases'!B155="","",'Grocery Purchases'!D155)</f>
        <v/>
      </c>
      <c r="E158" s="11" t="str">
        <f aca="false">IF('Grocery Purchases'!B155="","",'Grocery Purchases'!F155)</f>
        <v/>
      </c>
      <c r="F158" s="11" t="str">
        <f aca="false">IF('Grocery Purchases'!B155="","",'Grocery Purchases'!G155)</f>
        <v/>
      </c>
      <c r="G158" s="32" t="str">
        <f aca="false">IF('Grocery Purchases'!B155="","",'Grocery Purchases'!H155)</f>
        <v/>
      </c>
      <c r="H158" s="14" t="str">
        <f aca="false">IF('Grocery Purchases'!B155="","",'Grocery Purchases'!I155)</f>
        <v/>
      </c>
    </row>
    <row r="159" customFormat="false" ht="15" hidden="false" customHeight="true" outlineLevel="0" collapsed="false">
      <c r="A159" s="12" t="str">
        <f aca="false">IF('Grocery Purchases'!B156="","",'Grocery Purchases'!A156)</f>
        <v/>
      </c>
      <c r="B159" s="17" t="str">
        <f aca="false">IF('Grocery Purchases'!B156="","",'Grocery Purchases'!B156)</f>
        <v/>
      </c>
      <c r="C159" s="17" t="str">
        <f aca="false">IF('Grocery Purchases'!B156="","",'Grocery Purchases'!C156)</f>
        <v/>
      </c>
      <c r="D159" s="14" t="str">
        <f aca="false">IF('Grocery Purchases'!B156="","",'Grocery Purchases'!D156)</f>
        <v/>
      </c>
      <c r="E159" s="11" t="str">
        <f aca="false">IF('Grocery Purchases'!B156="","",'Grocery Purchases'!F156)</f>
        <v/>
      </c>
      <c r="F159" s="11" t="str">
        <f aca="false">IF('Grocery Purchases'!B156="","",'Grocery Purchases'!G156)</f>
        <v/>
      </c>
      <c r="G159" s="32" t="str">
        <f aca="false">IF('Grocery Purchases'!B156="","",'Grocery Purchases'!H156)</f>
        <v/>
      </c>
      <c r="H159" s="14" t="str">
        <f aca="false">IF('Grocery Purchases'!B156="","",'Grocery Purchases'!I156)</f>
        <v/>
      </c>
    </row>
    <row r="160" customFormat="false" ht="15" hidden="false" customHeight="true" outlineLevel="0" collapsed="false">
      <c r="A160" s="12" t="str">
        <f aca="false">IF('Grocery Purchases'!B157="","",'Grocery Purchases'!A157)</f>
        <v/>
      </c>
      <c r="B160" s="17" t="str">
        <f aca="false">IF('Grocery Purchases'!B157="","",'Grocery Purchases'!B157)</f>
        <v/>
      </c>
      <c r="C160" s="17" t="str">
        <f aca="false">IF('Grocery Purchases'!B157="","",'Grocery Purchases'!C157)</f>
        <v/>
      </c>
      <c r="D160" s="14" t="str">
        <f aca="false">IF('Grocery Purchases'!B157="","",'Grocery Purchases'!D157)</f>
        <v/>
      </c>
      <c r="E160" s="11" t="str">
        <f aca="false">IF('Grocery Purchases'!B157="","",'Grocery Purchases'!F157)</f>
        <v/>
      </c>
      <c r="F160" s="11" t="str">
        <f aca="false">IF('Grocery Purchases'!B157="","",'Grocery Purchases'!G157)</f>
        <v/>
      </c>
      <c r="G160" s="32" t="str">
        <f aca="false">IF('Grocery Purchases'!B157="","",'Grocery Purchases'!H157)</f>
        <v/>
      </c>
      <c r="H160" s="14" t="str">
        <f aca="false">IF('Grocery Purchases'!B157="","",'Grocery Purchases'!I157)</f>
        <v/>
      </c>
    </row>
    <row r="161" customFormat="false" ht="15" hidden="false" customHeight="true" outlineLevel="0" collapsed="false">
      <c r="A161" s="12" t="str">
        <f aca="false">IF('Grocery Purchases'!B158="","",'Grocery Purchases'!A158)</f>
        <v/>
      </c>
      <c r="B161" s="17" t="str">
        <f aca="false">IF('Grocery Purchases'!B158="","",'Grocery Purchases'!B158)</f>
        <v/>
      </c>
      <c r="C161" s="17" t="str">
        <f aca="false">IF('Grocery Purchases'!B158="","",'Grocery Purchases'!C158)</f>
        <v/>
      </c>
      <c r="D161" s="14" t="str">
        <f aca="false">IF('Grocery Purchases'!B158="","",'Grocery Purchases'!D158)</f>
        <v/>
      </c>
      <c r="E161" s="11" t="str">
        <f aca="false">IF('Grocery Purchases'!B158="","",'Grocery Purchases'!F158)</f>
        <v/>
      </c>
      <c r="F161" s="11" t="str">
        <f aca="false">IF('Grocery Purchases'!B158="","",'Grocery Purchases'!G158)</f>
        <v/>
      </c>
      <c r="G161" s="32" t="str">
        <f aca="false">IF('Grocery Purchases'!B158="","",'Grocery Purchases'!H158)</f>
        <v/>
      </c>
      <c r="H161" s="14" t="str">
        <f aca="false">IF('Grocery Purchases'!B158="","",'Grocery Purchases'!I158)</f>
        <v/>
      </c>
    </row>
    <row r="162" customFormat="false" ht="15" hidden="false" customHeight="true" outlineLevel="0" collapsed="false">
      <c r="A162" s="12" t="str">
        <f aca="false">IF('Grocery Purchases'!B159="","",'Grocery Purchases'!A159)</f>
        <v/>
      </c>
      <c r="B162" s="17" t="str">
        <f aca="false">IF('Grocery Purchases'!B159="","",'Grocery Purchases'!B159)</f>
        <v/>
      </c>
      <c r="C162" s="17" t="str">
        <f aca="false">IF('Grocery Purchases'!B159="","",'Grocery Purchases'!C159)</f>
        <v/>
      </c>
      <c r="D162" s="14" t="str">
        <f aca="false">IF('Grocery Purchases'!B159="","",'Grocery Purchases'!D159)</f>
        <v/>
      </c>
      <c r="E162" s="11" t="str">
        <f aca="false">IF('Grocery Purchases'!B159="","",'Grocery Purchases'!F159)</f>
        <v/>
      </c>
      <c r="F162" s="11" t="str">
        <f aca="false">IF('Grocery Purchases'!B159="","",'Grocery Purchases'!G159)</f>
        <v/>
      </c>
      <c r="G162" s="32" t="str">
        <f aca="false">IF('Grocery Purchases'!B159="","",'Grocery Purchases'!H159)</f>
        <v/>
      </c>
      <c r="H162" s="14" t="str">
        <f aca="false">IF('Grocery Purchases'!B159="","",'Grocery Purchases'!I159)</f>
        <v/>
      </c>
    </row>
    <row r="163" customFormat="false" ht="15" hidden="false" customHeight="true" outlineLevel="0" collapsed="false">
      <c r="A163" s="12" t="str">
        <f aca="false">IF('Grocery Purchases'!B160="","",'Grocery Purchases'!A160)</f>
        <v/>
      </c>
      <c r="B163" s="17" t="str">
        <f aca="false">IF('Grocery Purchases'!B160="","",'Grocery Purchases'!B160)</f>
        <v/>
      </c>
      <c r="C163" s="17" t="str">
        <f aca="false">IF('Grocery Purchases'!B160="","",'Grocery Purchases'!C160)</f>
        <v/>
      </c>
      <c r="D163" s="14" t="str">
        <f aca="false">IF('Grocery Purchases'!B160="","",'Grocery Purchases'!D160)</f>
        <v/>
      </c>
      <c r="E163" s="11" t="str">
        <f aca="false">IF('Grocery Purchases'!B160="","",'Grocery Purchases'!F160)</f>
        <v/>
      </c>
      <c r="F163" s="11" t="str">
        <f aca="false">IF('Grocery Purchases'!B160="","",'Grocery Purchases'!G160)</f>
        <v/>
      </c>
      <c r="G163" s="32" t="str">
        <f aca="false">IF('Grocery Purchases'!B160="","",'Grocery Purchases'!H160)</f>
        <v/>
      </c>
      <c r="H163" s="14" t="str">
        <f aca="false">IF('Grocery Purchases'!B160="","",'Grocery Purchases'!I160)</f>
        <v/>
      </c>
    </row>
    <row r="164" customFormat="false" ht="15" hidden="false" customHeight="true" outlineLevel="0" collapsed="false">
      <c r="A164" s="12" t="str">
        <f aca="false">IF('Grocery Purchases'!B161="","",'Grocery Purchases'!A161)</f>
        <v/>
      </c>
      <c r="B164" s="17" t="str">
        <f aca="false">IF('Grocery Purchases'!B161="","",'Grocery Purchases'!B161)</f>
        <v/>
      </c>
      <c r="C164" s="17" t="str">
        <f aca="false">IF('Grocery Purchases'!B161="","",'Grocery Purchases'!C161)</f>
        <v/>
      </c>
      <c r="D164" s="14" t="str">
        <f aca="false">IF('Grocery Purchases'!B161="","",'Grocery Purchases'!D161)</f>
        <v/>
      </c>
      <c r="E164" s="11" t="str">
        <f aca="false">IF('Grocery Purchases'!B161="","",'Grocery Purchases'!F161)</f>
        <v/>
      </c>
      <c r="F164" s="11" t="str">
        <f aca="false">IF('Grocery Purchases'!B161="","",'Grocery Purchases'!G161)</f>
        <v/>
      </c>
      <c r="G164" s="32" t="str">
        <f aca="false">IF('Grocery Purchases'!B161="","",'Grocery Purchases'!H161)</f>
        <v/>
      </c>
      <c r="H164" s="14" t="str">
        <f aca="false">IF('Grocery Purchases'!B161="","",'Grocery Purchases'!I161)</f>
        <v/>
      </c>
    </row>
    <row r="165" customFormat="false" ht="15" hidden="false" customHeight="true" outlineLevel="0" collapsed="false">
      <c r="A165" s="12" t="str">
        <f aca="false">IF('Grocery Purchases'!B162="","",'Grocery Purchases'!A162)</f>
        <v/>
      </c>
      <c r="B165" s="17" t="str">
        <f aca="false">IF('Grocery Purchases'!B162="","",'Grocery Purchases'!B162)</f>
        <v/>
      </c>
      <c r="C165" s="17" t="str">
        <f aca="false">IF('Grocery Purchases'!B162="","",'Grocery Purchases'!C162)</f>
        <v/>
      </c>
      <c r="D165" s="14" t="str">
        <f aca="false">IF('Grocery Purchases'!B162="","",'Grocery Purchases'!D162)</f>
        <v/>
      </c>
      <c r="E165" s="11" t="str">
        <f aca="false">IF('Grocery Purchases'!B162="","",'Grocery Purchases'!F162)</f>
        <v/>
      </c>
      <c r="F165" s="11" t="str">
        <f aca="false">IF('Grocery Purchases'!B162="","",'Grocery Purchases'!G162)</f>
        <v/>
      </c>
      <c r="G165" s="32" t="str">
        <f aca="false">IF('Grocery Purchases'!B162="","",'Grocery Purchases'!H162)</f>
        <v/>
      </c>
      <c r="H165" s="14" t="str">
        <f aca="false">IF('Grocery Purchases'!B162="","",'Grocery Purchases'!I162)</f>
        <v/>
      </c>
    </row>
    <row r="166" customFormat="false" ht="15" hidden="false" customHeight="true" outlineLevel="0" collapsed="false">
      <c r="A166" s="12" t="str">
        <f aca="false">IF('Grocery Purchases'!B163="","",'Grocery Purchases'!A163)</f>
        <v/>
      </c>
      <c r="B166" s="17" t="str">
        <f aca="false">IF('Grocery Purchases'!B163="","",'Grocery Purchases'!B163)</f>
        <v/>
      </c>
      <c r="C166" s="17" t="str">
        <f aca="false">IF('Grocery Purchases'!B163="","",'Grocery Purchases'!C163)</f>
        <v/>
      </c>
      <c r="D166" s="14" t="str">
        <f aca="false">IF('Grocery Purchases'!B163="","",'Grocery Purchases'!D163)</f>
        <v/>
      </c>
      <c r="E166" s="11" t="str">
        <f aca="false">IF('Grocery Purchases'!B163="","",'Grocery Purchases'!F163)</f>
        <v/>
      </c>
      <c r="F166" s="11" t="str">
        <f aca="false">IF('Grocery Purchases'!B163="","",'Grocery Purchases'!G163)</f>
        <v/>
      </c>
      <c r="G166" s="32" t="str">
        <f aca="false">IF('Grocery Purchases'!B163="","",'Grocery Purchases'!H163)</f>
        <v/>
      </c>
      <c r="H166" s="14" t="str">
        <f aca="false">IF('Grocery Purchases'!B163="","",'Grocery Purchases'!I163)</f>
        <v/>
      </c>
    </row>
    <row r="167" customFormat="false" ht="15" hidden="false" customHeight="true" outlineLevel="0" collapsed="false">
      <c r="A167" s="12" t="str">
        <f aca="false">IF('Grocery Purchases'!B164="","",'Grocery Purchases'!A164)</f>
        <v/>
      </c>
      <c r="B167" s="17" t="str">
        <f aca="false">IF('Grocery Purchases'!B164="","",'Grocery Purchases'!B164)</f>
        <v/>
      </c>
      <c r="C167" s="17" t="str">
        <f aca="false">IF('Grocery Purchases'!B164="","",'Grocery Purchases'!C164)</f>
        <v/>
      </c>
      <c r="D167" s="14" t="str">
        <f aca="false">IF('Grocery Purchases'!B164="","",'Grocery Purchases'!D164)</f>
        <v/>
      </c>
      <c r="E167" s="11" t="str">
        <f aca="false">IF('Grocery Purchases'!B164="","",'Grocery Purchases'!F164)</f>
        <v/>
      </c>
      <c r="F167" s="11" t="str">
        <f aca="false">IF('Grocery Purchases'!B164="","",'Grocery Purchases'!G164)</f>
        <v/>
      </c>
      <c r="G167" s="32" t="str">
        <f aca="false">IF('Grocery Purchases'!B164="","",'Grocery Purchases'!H164)</f>
        <v/>
      </c>
      <c r="H167" s="14" t="str">
        <f aca="false">IF('Grocery Purchases'!B164="","",'Grocery Purchases'!I164)</f>
        <v/>
      </c>
    </row>
    <row r="168" customFormat="false" ht="15" hidden="false" customHeight="true" outlineLevel="0" collapsed="false">
      <c r="A168" s="12" t="str">
        <f aca="false">IF('Grocery Purchases'!B165="","",'Grocery Purchases'!A165)</f>
        <v/>
      </c>
      <c r="B168" s="17" t="str">
        <f aca="false">IF('Grocery Purchases'!B165="","",'Grocery Purchases'!B165)</f>
        <v/>
      </c>
      <c r="C168" s="17" t="str">
        <f aca="false">IF('Grocery Purchases'!B165="","",'Grocery Purchases'!C165)</f>
        <v/>
      </c>
      <c r="D168" s="14" t="str">
        <f aca="false">IF('Grocery Purchases'!B165="","",'Grocery Purchases'!D165)</f>
        <v/>
      </c>
      <c r="E168" s="11" t="str">
        <f aca="false">IF('Grocery Purchases'!B165="","",'Grocery Purchases'!F165)</f>
        <v/>
      </c>
      <c r="F168" s="11" t="str">
        <f aca="false">IF('Grocery Purchases'!B165="","",'Grocery Purchases'!G165)</f>
        <v/>
      </c>
      <c r="G168" s="32" t="str">
        <f aca="false">IF('Grocery Purchases'!B165="","",'Grocery Purchases'!H165)</f>
        <v/>
      </c>
      <c r="H168" s="14" t="str">
        <f aca="false">IF('Grocery Purchases'!B165="","",'Grocery Purchases'!I165)</f>
        <v/>
      </c>
    </row>
    <row r="169" customFormat="false" ht="15" hidden="false" customHeight="true" outlineLevel="0" collapsed="false">
      <c r="A169" s="12" t="str">
        <f aca="false">IF('Grocery Purchases'!B166="","",'Grocery Purchases'!A166)</f>
        <v/>
      </c>
      <c r="B169" s="17" t="str">
        <f aca="false">IF('Grocery Purchases'!B166="","",'Grocery Purchases'!B166)</f>
        <v/>
      </c>
      <c r="C169" s="17" t="str">
        <f aca="false">IF('Grocery Purchases'!B166="","",'Grocery Purchases'!C166)</f>
        <v/>
      </c>
      <c r="D169" s="14" t="str">
        <f aca="false">IF('Grocery Purchases'!B166="","",'Grocery Purchases'!D166)</f>
        <v/>
      </c>
      <c r="E169" s="11" t="str">
        <f aca="false">IF('Grocery Purchases'!B166="","",'Grocery Purchases'!F166)</f>
        <v/>
      </c>
      <c r="F169" s="11" t="str">
        <f aca="false">IF('Grocery Purchases'!B166="","",'Grocery Purchases'!G166)</f>
        <v/>
      </c>
      <c r="G169" s="32" t="str">
        <f aca="false">IF('Grocery Purchases'!B166="","",'Grocery Purchases'!H166)</f>
        <v/>
      </c>
      <c r="H169" s="14" t="str">
        <f aca="false">IF('Grocery Purchases'!B166="","",'Grocery Purchases'!I166)</f>
        <v/>
      </c>
    </row>
    <row r="170" customFormat="false" ht="15" hidden="false" customHeight="true" outlineLevel="0" collapsed="false">
      <c r="A170" s="12" t="str">
        <f aca="false">IF('Grocery Purchases'!B167="","",'Grocery Purchases'!A167)</f>
        <v/>
      </c>
      <c r="B170" s="17" t="str">
        <f aca="false">IF('Grocery Purchases'!B167="","",'Grocery Purchases'!B167)</f>
        <v/>
      </c>
      <c r="C170" s="17" t="str">
        <f aca="false">IF('Grocery Purchases'!B167="","",'Grocery Purchases'!C167)</f>
        <v/>
      </c>
      <c r="D170" s="14" t="str">
        <f aca="false">IF('Grocery Purchases'!B167="","",'Grocery Purchases'!D167)</f>
        <v/>
      </c>
      <c r="E170" s="11" t="str">
        <f aca="false">IF('Grocery Purchases'!B167="","",'Grocery Purchases'!F167)</f>
        <v/>
      </c>
      <c r="F170" s="11" t="str">
        <f aca="false">IF('Grocery Purchases'!B167="","",'Grocery Purchases'!G167)</f>
        <v/>
      </c>
      <c r="G170" s="32" t="str">
        <f aca="false">IF('Grocery Purchases'!B167="","",'Grocery Purchases'!H167)</f>
        <v/>
      </c>
      <c r="H170" s="14" t="str">
        <f aca="false">IF('Grocery Purchases'!B167="","",'Grocery Purchases'!I167)</f>
        <v/>
      </c>
    </row>
    <row r="171" customFormat="false" ht="15" hidden="false" customHeight="true" outlineLevel="0" collapsed="false">
      <c r="A171" s="12" t="str">
        <f aca="false">IF('Grocery Purchases'!B168="","",'Grocery Purchases'!A168)</f>
        <v/>
      </c>
      <c r="B171" s="17" t="str">
        <f aca="false">IF('Grocery Purchases'!B168="","",'Grocery Purchases'!B168)</f>
        <v/>
      </c>
      <c r="C171" s="17" t="str">
        <f aca="false">IF('Grocery Purchases'!B168="","",'Grocery Purchases'!C168)</f>
        <v/>
      </c>
      <c r="D171" s="14" t="str">
        <f aca="false">IF('Grocery Purchases'!B168="","",'Grocery Purchases'!D168)</f>
        <v/>
      </c>
      <c r="E171" s="11" t="str">
        <f aca="false">IF('Grocery Purchases'!B168="","",'Grocery Purchases'!F168)</f>
        <v/>
      </c>
      <c r="F171" s="11" t="str">
        <f aca="false">IF('Grocery Purchases'!B168="","",'Grocery Purchases'!G168)</f>
        <v/>
      </c>
      <c r="G171" s="32" t="str">
        <f aca="false">IF('Grocery Purchases'!B168="","",'Grocery Purchases'!H168)</f>
        <v/>
      </c>
      <c r="H171" s="14" t="str">
        <f aca="false">IF('Grocery Purchases'!B168="","",'Grocery Purchases'!I168)</f>
        <v/>
      </c>
    </row>
    <row r="172" customFormat="false" ht="15" hidden="false" customHeight="true" outlineLevel="0" collapsed="false">
      <c r="A172" s="12" t="str">
        <f aca="false">IF('Grocery Purchases'!B169="","",'Grocery Purchases'!A169)</f>
        <v/>
      </c>
      <c r="B172" s="17" t="str">
        <f aca="false">IF('Grocery Purchases'!B169="","",'Grocery Purchases'!B169)</f>
        <v/>
      </c>
      <c r="C172" s="17" t="str">
        <f aca="false">IF('Grocery Purchases'!B169="","",'Grocery Purchases'!C169)</f>
        <v/>
      </c>
      <c r="D172" s="14" t="str">
        <f aca="false">IF('Grocery Purchases'!B169="","",'Grocery Purchases'!D169)</f>
        <v/>
      </c>
      <c r="E172" s="11" t="str">
        <f aca="false">IF('Grocery Purchases'!B169="","",'Grocery Purchases'!F169)</f>
        <v/>
      </c>
      <c r="F172" s="11" t="str">
        <f aca="false">IF('Grocery Purchases'!B169="","",'Grocery Purchases'!G169)</f>
        <v/>
      </c>
      <c r="G172" s="32" t="str">
        <f aca="false">IF('Grocery Purchases'!B169="","",'Grocery Purchases'!H169)</f>
        <v/>
      </c>
      <c r="H172" s="14" t="str">
        <f aca="false">IF('Grocery Purchases'!B169="","",'Grocery Purchases'!I169)</f>
        <v/>
      </c>
    </row>
    <row r="173" customFormat="false" ht="15" hidden="false" customHeight="true" outlineLevel="0" collapsed="false">
      <c r="A173" s="12" t="str">
        <f aca="false">IF('Grocery Purchases'!B170="","",'Grocery Purchases'!A170)</f>
        <v/>
      </c>
      <c r="B173" s="17" t="str">
        <f aca="false">IF('Grocery Purchases'!B170="","",'Grocery Purchases'!B170)</f>
        <v/>
      </c>
      <c r="C173" s="17" t="str">
        <f aca="false">IF('Grocery Purchases'!B170="","",'Grocery Purchases'!C170)</f>
        <v/>
      </c>
      <c r="D173" s="14" t="str">
        <f aca="false">IF('Grocery Purchases'!B170="","",'Grocery Purchases'!D170)</f>
        <v/>
      </c>
      <c r="E173" s="11" t="str">
        <f aca="false">IF('Grocery Purchases'!B170="","",'Grocery Purchases'!F170)</f>
        <v/>
      </c>
      <c r="F173" s="11" t="str">
        <f aca="false">IF('Grocery Purchases'!B170="","",'Grocery Purchases'!G170)</f>
        <v/>
      </c>
      <c r="G173" s="32" t="str">
        <f aca="false">IF('Grocery Purchases'!B170="","",'Grocery Purchases'!H170)</f>
        <v/>
      </c>
      <c r="H173" s="14" t="str">
        <f aca="false">IF('Grocery Purchases'!B170="","",'Grocery Purchases'!I170)</f>
        <v/>
      </c>
    </row>
    <row r="174" customFormat="false" ht="15" hidden="false" customHeight="true" outlineLevel="0" collapsed="false">
      <c r="A174" s="12" t="str">
        <f aca="false">IF('Grocery Purchases'!B171="","",'Grocery Purchases'!A171)</f>
        <v/>
      </c>
      <c r="B174" s="17" t="str">
        <f aca="false">IF('Grocery Purchases'!B171="","",'Grocery Purchases'!B171)</f>
        <v/>
      </c>
      <c r="C174" s="17" t="str">
        <f aca="false">IF('Grocery Purchases'!B171="","",'Grocery Purchases'!C171)</f>
        <v/>
      </c>
      <c r="D174" s="14" t="str">
        <f aca="false">IF('Grocery Purchases'!B171="","",'Grocery Purchases'!D171)</f>
        <v/>
      </c>
      <c r="E174" s="11" t="str">
        <f aca="false">IF('Grocery Purchases'!B171="","",'Grocery Purchases'!F171)</f>
        <v/>
      </c>
      <c r="F174" s="11" t="str">
        <f aca="false">IF('Grocery Purchases'!B171="","",'Grocery Purchases'!G171)</f>
        <v/>
      </c>
      <c r="G174" s="32" t="str">
        <f aca="false">IF('Grocery Purchases'!B171="","",'Grocery Purchases'!H171)</f>
        <v/>
      </c>
      <c r="H174" s="14" t="str">
        <f aca="false">IF('Grocery Purchases'!B171="","",'Grocery Purchases'!I171)</f>
        <v/>
      </c>
    </row>
    <row r="175" customFormat="false" ht="15" hidden="false" customHeight="true" outlineLevel="0" collapsed="false">
      <c r="A175" s="12" t="str">
        <f aca="false">IF('Grocery Purchases'!B172="","",'Grocery Purchases'!A172)</f>
        <v/>
      </c>
      <c r="B175" s="17" t="str">
        <f aca="false">IF('Grocery Purchases'!B172="","",'Grocery Purchases'!B172)</f>
        <v/>
      </c>
      <c r="C175" s="17" t="str">
        <f aca="false">IF('Grocery Purchases'!B172="","",'Grocery Purchases'!C172)</f>
        <v/>
      </c>
      <c r="D175" s="14" t="str">
        <f aca="false">IF('Grocery Purchases'!B172="","",'Grocery Purchases'!D172)</f>
        <v/>
      </c>
      <c r="E175" s="11" t="str">
        <f aca="false">IF('Grocery Purchases'!B172="","",'Grocery Purchases'!F172)</f>
        <v/>
      </c>
      <c r="F175" s="11" t="str">
        <f aca="false">IF('Grocery Purchases'!B172="","",'Grocery Purchases'!G172)</f>
        <v/>
      </c>
      <c r="G175" s="32" t="str">
        <f aca="false">IF('Grocery Purchases'!B172="","",'Grocery Purchases'!H172)</f>
        <v/>
      </c>
      <c r="H175" s="14" t="str">
        <f aca="false">IF('Grocery Purchases'!B172="","",'Grocery Purchases'!I172)</f>
        <v/>
      </c>
    </row>
    <row r="176" customFormat="false" ht="15" hidden="false" customHeight="true" outlineLevel="0" collapsed="false">
      <c r="A176" s="12" t="str">
        <f aca="false">IF('Grocery Purchases'!B173="","",'Grocery Purchases'!A173)</f>
        <v/>
      </c>
      <c r="B176" s="17" t="str">
        <f aca="false">IF('Grocery Purchases'!B173="","",'Grocery Purchases'!B173)</f>
        <v/>
      </c>
      <c r="C176" s="17" t="str">
        <f aca="false">IF('Grocery Purchases'!B173="","",'Grocery Purchases'!C173)</f>
        <v/>
      </c>
      <c r="D176" s="14" t="str">
        <f aca="false">IF('Grocery Purchases'!B173="","",'Grocery Purchases'!D173)</f>
        <v/>
      </c>
      <c r="E176" s="11" t="str">
        <f aca="false">IF('Grocery Purchases'!B173="","",'Grocery Purchases'!F173)</f>
        <v/>
      </c>
      <c r="F176" s="11" t="str">
        <f aca="false">IF('Grocery Purchases'!B173="","",'Grocery Purchases'!G173)</f>
        <v/>
      </c>
      <c r="G176" s="32" t="str">
        <f aca="false">IF('Grocery Purchases'!B173="","",'Grocery Purchases'!H173)</f>
        <v/>
      </c>
      <c r="H176" s="14" t="str">
        <f aca="false">IF('Grocery Purchases'!B173="","",'Grocery Purchases'!I173)</f>
        <v/>
      </c>
    </row>
    <row r="177" customFormat="false" ht="15" hidden="false" customHeight="true" outlineLevel="0" collapsed="false">
      <c r="A177" s="12" t="str">
        <f aca="false">IF('Grocery Purchases'!B174="","",'Grocery Purchases'!A174)</f>
        <v/>
      </c>
      <c r="B177" s="17" t="str">
        <f aca="false">IF('Grocery Purchases'!B174="","",'Grocery Purchases'!B174)</f>
        <v/>
      </c>
      <c r="C177" s="17" t="str">
        <f aca="false">IF('Grocery Purchases'!B174="","",'Grocery Purchases'!C174)</f>
        <v/>
      </c>
      <c r="D177" s="14" t="str">
        <f aca="false">IF('Grocery Purchases'!B174="","",'Grocery Purchases'!D174)</f>
        <v/>
      </c>
      <c r="E177" s="11" t="str">
        <f aca="false">IF('Grocery Purchases'!B174="","",'Grocery Purchases'!F174)</f>
        <v/>
      </c>
      <c r="F177" s="11" t="str">
        <f aca="false">IF('Grocery Purchases'!B174="","",'Grocery Purchases'!G174)</f>
        <v/>
      </c>
      <c r="G177" s="32" t="str">
        <f aca="false">IF('Grocery Purchases'!B174="","",'Grocery Purchases'!H174)</f>
        <v/>
      </c>
      <c r="H177" s="14" t="str">
        <f aca="false">IF('Grocery Purchases'!B174="","",'Grocery Purchases'!I174)</f>
        <v/>
      </c>
    </row>
    <row r="178" customFormat="false" ht="15" hidden="false" customHeight="true" outlineLevel="0" collapsed="false">
      <c r="A178" s="12" t="str">
        <f aca="false">IF('Grocery Purchases'!B175="","",'Grocery Purchases'!A175)</f>
        <v/>
      </c>
      <c r="B178" s="17" t="str">
        <f aca="false">IF('Grocery Purchases'!B175="","",'Grocery Purchases'!B175)</f>
        <v/>
      </c>
      <c r="C178" s="17" t="str">
        <f aca="false">IF('Grocery Purchases'!B175="","",'Grocery Purchases'!C175)</f>
        <v/>
      </c>
      <c r="D178" s="14" t="str">
        <f aca="false">IF('Grocery Purchases'!B175="","",'Grocery Purchases'!D175)</f>
        <v/>
      </c>
      <c r="E178" s="11" t="str">
        <f aca="false">IF('Grocery Purchases'!B175="","",'Grocery Purchases'!F175)</f>
        <v/>
      </c>
      <c r="F178" s="11" t="str">
        <f aca="false">IF('Grocery Purchases'!B175="","",'Grocery Purchases'!G175)</f>
        <v/>
      </c>
      <c r="G178" s="32" t="str">
        <f aca="false">IF('Grocery Purchases'!B175="","",'Grocery Purchases'!H175)</f>
        <v/>
      </c>
      <c r="H178" s="14" t="str">
        <f aca="false">IF('Grocery Purchases'!B175="","",'Grocery Purchases'!I175)</f>
        <v/>
      </c>
    </row>
    <row r="179" customFormat="false" ht="15" hidden="false" customHeight="true" outlineLevel="0" collapsed="false">
      <c r="A179" s="12" t="str">
        <f aca="false">IF('Grocery Purchases'!B176="","",'Grocery Purchases'!A176)</f>
        <v/>
      </c>
      <c r="B179" s="17" t="str">
        <f aca="false">IF('Grocery Purchases'!B176="","",'Grocery Purchases'!B176)</f>
        <v/>
      </c>
      <c r="C179" s="17" t="str">
        <f aca="false">IF('Grocery Purchases'!B176="","",'Grocery Purchases'!C176)</f>
        <v/>
      </c>
      <c r="D179" s="14" t="str">
        <f aca="false">IF('Grocery Purchases'!B176="","",'Grocery Purchases'!D176)</f>
        <v/>
      </c>
      <c r="E179" s="11" t="str">
        <f aca="false">IF('Grocery Purchases'!B176="","",'Grocery Purchases'!F176)</f>
        <v/>
      </c>
      <c r="F179" s="11" t="str">
        <f aca="false">IF('Grocery Purchases'!B176="","",'Grocery Purchases'!G176)</f>
        <v/>
      </c>
      <c r="G179" s="32" t="str">
        <f aca="false">IF('Grocery Purchases'!B176="","",'Grocery Purchases'!H176)</f>
        <v/>
      </c>
      <c r="H179" s="14" t="str">
        <f aca="false">IF('Grocery Purchases'!B176="","",'Grocery Purchases'!I176)</f>
        <v/>
      </c>
    </row>
    <row r="180" customFormat="false" ht="15" hidden="false" customHeight="true" outlineLevel="0" collapsed="false">
      <c r="A180" s="12" t="str">
        <f aca="false">IF('Grocery Purchases'!B177="","",'Grocery Purchases'!A177)</f>
        <v/>
      </c>
      <c r="B180" s="17" t="str">
        <f aca="false">IF('Grocery Purchases'!B177="","",'Grocery Purchases'!B177)</f>
        <v/>
      </c>
      <c r="C180" s="17" t="str">
        <f aca="false">IF('Grocery Purchases'!B177="","",'Grocery Purchases'!C177)</f>
        <v/>
      </c>
      <c r="D180" s="14" t="str">
        <f aca="false">IF('Grocery Purchases'!B177="","",'Grocery Purchases'!D177)</f>
        <v/>
      </c>
      <c r="E180" s="11" t="str">
        <f aca="false">IF('Grocery Purchases'!B177="","",'Grocery Purchases'!F177)</f>
        <v/>
      </c>
      <c r="F180" s="11" t="str">
        <f aca="false">IF('Grocery Purchases'!B177="","",'Grocery Purchases'!G177)</f>
        <v/>
      </c>
      <c r="G180" s="32" t="str">
        <f aca="false">IF('Grocery Purchases'!B177="","",'Grocery Purchases'!H177)</f>
        <v/>
      </c>
      <c r="H180" s="14" t="str">
        <f aca="false">IF('Grocery Purchases'!B177="","",'Grocery Purchases'!I177)</f>
        <v/>
      </c>
    </row>
    <row r="181" customFormat="false" ht="15" hidden="false" customHeight="true" outlineLevel="0" collapsed="false">
      <c r="A181" s="12" t="str">
        <f aca="false">IF('Grocery Purchases'!B178="","",'Grocery Purchases'!A178)</f>
        <v/>
      </c>
      <c r="B181" s="17" t="str">
        <f aca="false">IF('Grocery Purchases'!B178="","",'Grocery Purchases'!B178)</f>
        <v/>
      </c>
      <c r="C181" s="17" t="str">
        <f aca="false">IF('Grocery Purchases'!B178="","",'Grocery Purchases'!C178)</f>
        <v/>
      </c>
      <c r="D181" s="14" t="str">
        <f aca="false">IF('Grocery Purchases'!B178="","",'Grocery Purchases'!D178)</f>
        <v/>
      </c>
      <c r="E181" s="11" t="str">
        <f aca="false">IF('Grocery Purchases'!B178="","",'Grocery Purchases'!F178)</f>
        <v/>
      </c>
      <c r="F181" s="11" t="str">
        <f aca="false">IF('Grocery Purchases'!B178="","",'Grocery Purchases'!G178)</f>
        <v/>
      </c>
      <c r="G181" s="32" t="str">
        <f aca="false">IF('Grocery Purchases'!B178="","",'Grocery Purchases'!H178)</f>
        <v/>
      </c>
      <c r="H181" s="14" t="str">
        <f aca="false">IF('Grocery Purchases'!B178="","",'Grocery Purchases'!I178)</f>
        <v/>
      </c>
    </row>
    <row r="182" customFormat="false" ht="15" hidden="false" customHeight="true" outlineLevel="0" collapsed="false">
      <c r="A182" s="12" t="str">
        <f aca="false">IF('Grocery Purchases'!B179="","",'Grocery Purchases'!A179)</f>
        <v/>
      </c>
      <c r="B182" s="17" t="str">
        <f aca="false">IF('Grocery Purchases'!B179="","",'Grocery Purchases'!B179)</f>
        <v/>
      </c>
      <c r="C182" s="17" t="str">
        <f aca="false">IF('Grocery Purchases'!B179="","",'Grocery Purchases'!C179)</f>
        <v/>
      </c>
      <c r="D182" s="14" t="str">
        <f aca="false">IF('Grocery Purchases'!B179="","",'Grocery Purchases'!D179)</f>
        <v/>
      </c>
      <c r="E182" s="11" t="str">
        <f aca="false">IF('Grocery Purchases'!B179="","",'Grocery Purchases'!F179)</f>
        <v/>
      </c>
      <c r="F182" s="11" t="str">
        <f aca="false">IF('Grocery Purchases'!B179="","",'Grocery Purchases'!G179)</f>
        <v/>
      </c>
      <c r="G182" s="32" t="str">
        <f aca="false">IF('Grocery Purchases'!B179="","",'Grocery Purchases'!H179)</f>
        <v/>
      </c>
      <c r="H182" s="14" t="str">
        <f aca="false">IF('Grocery Purchases'!B179="","",'Grocery Purchases'!I179)</f>
        <v/>
      </c>
    </row>
    <row r="183" customFormat="false" ht="15" hidden="false" customHeight="true" outlineLevel="0" collapsed="false">
      <c r="A183" s="12" t="str">
        <f aca="false">IF('Grocery Purchases'!B180="","",'Grocery Purchases'!A180)</f>
        <v/>
      </c>
      <c r="B183" s="17" t="str">
        <f aca="false">IF('Grocery Purchases'!B180="","",'Grocery Purchases'!B180)</f>
        <v/>
      </c>
      <c r="C183" s="17" t="str">
        <f aca="false">IF('Grocery Purchases'!B180="","",'Grocery Purchases'!C180)</f>
        <v/>
      </c>
      <c r="D183" s="14" t="str">
        <f aca="false">IF('Grocery Purchases'!B180="","",'Grocery Purchases'!D180)</f>
        <v/>
      </c>
      <c r="E183" s="11" t="str">
        <f aca="false">IF('Grocery Purchases'!B180="","",'Grocery Purchases'!F180)</f>
        <v/>
      </c>
      <c r="F183" s="11" t="str">
        <f aca="false">IF('Grocery Purchases'!B180="","",'Grocery Purchases'!G180)</f>
        <v/>
      </c>
      <c r="G183" s="32" t="str">
        <f aca="false">IF('Grocery Purchases'!B180="","",'Grocery Purchases'!H180)</f>
        <v/>
      </c>
      <c r="H183" s="14" t="str">
        <f aca="false">IF('Grocery Purchases'!B180="","",'Grocery Purchases'!I180)</f>
        <v/>
      </c>
    </row>
    <row r="184" customFormat="false" ht="15" hidden="false" customHeight="true" outlineLevel="0" collapsed="false">
      <c r="A184" s="12" t="str">
        <f aca="false">IF('Grocery Purchases'!B181="","",'Grocery Purchases'!A181)</f>
        <v/>
      </c>
      <c r="B184" s="17" t="str">
        <f aca="false">IF('Grocery Purchases'!B181="","",'Grocery Purchases'!B181)</f>
        <v/>
      </c>
      <c r="C184" s="17" t="str">
        <f aca="false">IF('Grocery Purchases'!B181="","",'Grocery Purchases'!C181)</f>
        <v/>
      </c>
      <c r="D184" s="14" t="str">
        <f aca="false">IF('Grocery Purchases'!B181="","",'Grocery Purchases'!D181)</f>
        <v/>
      </c>
      <c r="E184" s="11" t="str">
        <f aca="false">IF('Grocery Purchases'!B181="","",'Grocery Purchases'!F181)</f>
        <v/>
      </c>
      <c r="F184" s="11" t="str">
        <f aca="false">IF('Grocery Purchases'!B181="","",'Grocery Purchases'!G181)</f>
        <v/>
      </c>
      <c r="G184" s="32" t="str">
        <f aca="false">IF('Grocery Purchases'!B181="","",'Grocery Purchases'!H181)</f>
        <v/>
      </c>
      <c r="H184" s="14" t="str">
        <f aca="false">IF('Grocery Purchases'!B181="","",'Grocery Purchases'!I181)</f>
        <v/>
      </c>
    </row>
    <row r="185" customFormat="false" ht="15" hidden="false" customHeight="true" outlineLevel="0" collapsed="false">
      <c r="A185" s="12" t="str">
        <f aca="false">IF('Grocery Purchases'!B182="","",'Grocery Purchases'!A182)</f>
        <v/>
      </c>
      <c r="B185" s="17" t="str">
        <f aca="false">IF('Grocery Purchases'!B182="","",'Grocery Purchases'!B182)</f>
        <v/>
      </c>
      <c r="C185" s="17" t="str">
        <f aca="false">IF('Grocery Purchases'!B182="","",'Grocery Purchases'!C182)</f>
        <v/>
      </c>
      <c r="D185" s="14" t="str">
        <f aca="false">IF('Grocery Purchases'!B182="","",'Grocery Purchases'!D182)</f>
        <v/>
      </c>
      <c r="E185" s="11" t="str">
        <f aca="false">IF('Grocery Purchases'!B182="","",'Grocery Purchases'!F182)</f>
        <v/>
      </c>
      <c r="F185" s="11" t="str">
        <f aca="false">IF('Grocery Purchases'!B182="","",'Grocery Purchases'!G182)</f>
        <v/>
      </c>
      <c r="G185" s="32" t="str">
        <f aca="false">IF('Grocery Purchases'!B182="","",'Grocery Purchases'!H182)</f>
        <v/>
      </c>
      <c r="H185" s="14" t="str">
        <f aca="false">IF('Grocery Purchases'!B182="","",'Grocery Purchases'!I182)</f>
        <v/>
      </c>
    </row>
    <row r="186" customFormat="false" ht="15" hidden="false" customHeight="true" outlineLevel="0" collapsed="false">
      <c r="A186" s="12" t="str">
        <f aca="false">IF('Grocery Purchases'!B183="","",'Grocery Purchases'!A183)</f>
        <v/>
      </c>
      <c r="B186" s="17" t="str">
        <f aca="false">IF('Grocery Purchases'!B183="","",'Grocery Purchases'!B183)</f>
        <v/>
      </c>
      <c r="C186" s="17" t="str">
        <f aca="false">IF('Grocery Purchases'!B183="","",'Grocery Purchases'!C183)</f>
        <v/>
      </c>
      <c r="D186" s="14" t="str">
        <f aca="false">IF('Grocery Purchases'!B183="","",'Grocery Purchases'!D183)</f>
        <v/>
      </c>
      <c r="E186" s="11" t="str">
        <f aca="false">IF('Grocery Purchases'!B183="","",'Grocery Purchases'!F183)</f>
        <v/>
      </c>
      <c r="F186" s="11" t="str">
        <f aca="false">IF('Grocery Purchases'!B183="","",'Grocery Purchases'!G183)</f>
        <v/>
      </c>
      <c r="G186" s="32" t="str">
        <f aca="false">IF('Grocery Purchases'!B183="","",'Grocery Purchases'!H183)</f>
        <v/>
      </c>
      <c r="H186" s="14" t="str">
        <f aca="false">IF('Grocery Purchases'!B183="","",'Grocery Purchases'!I183)</f>
        <v/>
      </c>
    </row>
    <row r="187" customFormat="false" ht="15" hidden="false" customHeight="true" outlineLevel="0" collapsed="false">
      <c r="A187" s="12" t="str">
        <f aca="false">IF('Grocery Purchases'!B184="","",'Grocery Purchases'!A184)</f>
        <v/>
      </c>
      <c r="B187" s="17" t="str">
        <f aca="false">IF('Grocery Purchases'!B184="","",'Grocery Purchases'!B184)</f>
        <v/>
      </c>
      <c r="C187" s="17" t="str">
        <f aca="false">IF('Grocery Purchases'!B184="","",'Grocery Purchases'!C184)</f>
        <v/>
      </c>
      <c r="D187" s="14" t="str">
        <f aca="false">IF('Grocery Purchases'!B184="","",'Grocery Purchases'!D184)</f>
        <v/>
      </c>
      <c r="E187" s="11" t="str">
        <f aca="false">IF('Grocery Purchases'!B184="","",'Grocery Purchases'!F184)</f>
        <v/>
      </c>
      <c r="F187" s="11" t="str">
        <f aca="false">IF('Grocery Purchases'!B184="","",'Grocery Purchases'!G184)</f>
        <v/>
      </c>
      <c r="G187" s="32" t="str">
        <f aca="false">IF('Grocery Purchases'!B184="","",'Grocery Purchases'!H184)</f>
        <v/>
      </c>
      <c r="H187" s="14" t="str">
        <f aca="false">IF('Grocery Purchases'!B184="","",'Grocery Purchases'!I184)</f>
        <v/>
      </c>
    </row>
    <row r="188" customFormat="false" ht="15" hidden="false" customHeight="true" outlineLevel="0" collapsed="false">
      <c r="A188" s="12" t="str">
        <f aca="false">IF('Grocery Purchases'!B185="","",'Grocery Purchases'!A185)</f>
        <v/>
      </c>
      <c r="B188" s="17" t="str">
        <f aca="false">IF('Grocery Purchases'!B185="","",'Grocery Purchases'!B185)</f>
        <v/>
      </c>
      <c r="C188" s="17" t="str">
        <f aca="false">IF('Grocery Purchases'!B185="","",'Grocery Purchases'!C185)</f>
        <v/>
      </c>
      <c r="D188" s="14" t="str">
        <f aca="false">IF('Grocery Purchases'!B185="","",'Grocery Purchases'!D185)</f>
        <v/>
      </c>
      <c r="E188" s="11" t="str">
        <f aca="false">IF('Grocery Purchases'!B185="","",'Grocery Purchases'!F185)</f>
        <v/>
      </c>
      <c r="F188" s="11" t="str">
        <f aca="false">IF('Grocery Purchases'!B185="","",'Grocery Purchases'!G185)</f>
        <v/>
      </c>
      <c r="G188" s="32" t="str">
        <f aca="false">IF('Grocery Purchases'!B185="","",'Grocery Purchases'!H185)</f>
        <v/>
      </c>
      <c r="H188" s="14" t="str">
        <f aca="false">IF('Grocery Purchases'!B185="","",'Grocery Purchases'!I185)</f>
        <v/>
      </c>
    </row>
    <row r="189" customFormat="false" ht="15" hidden="false" customHeight="true" outlineLevel="0" collapsed="false">
      <c r="A189" s="12" t="str">
        <f aca="false">IF('Grocery Purchases'!B186="","",'Grocery Purchases'!A186)</f>
        <v/>
      </c>
      <c r="B189" s="17" t="str">
        <f aca="false">IF('Grocery Purchases'!B186="","",'Grocery Purchases'!B186)</f>
        <v/>
      </c>
      <c r="C189" s="17" t="str">
        <f aca="false">IF('Grocery Purchases'!B186="","",'Grocery Purchases'!C186)</f>
        <v/>
      </c>
      <c r="D189" s="14" t="str">
        <f aca="false">IF('Grocery Purchases'!B186="","",'Grocery Purchases'!D186)</f>
        <v/>
      </c>
      <c r="E189" s="11" t="str">
        <f aca="false">IF('Grocery Purchases'!B186="","",'Grocery Purchases'!F186)</f>
        <v/>
      </c>
      <c r="F189" s="11" t="str">
        <f aca="false">IF('Grocery Purchases'!B186="","",'Grocery Purchases'!G186)</f>
        <v/>
      </c>
      <c r="G189" s="32" t="str">
        <f aca="false">IF('Grocery Purchases'!B186="","",'Grocery Purchases'!H186)</f>
        <v/>
      </c>
      <c r="H189" s="14" t="str">
        <f aca="false">IF('Grocery Purchases'!B186="","",'Grocery Purchases'!I186)</f>
        <v/>
      </c>
    </row>
    <row r="190" customFormat="false" ht="15" hidden="false" customHeight="true" outlineLevel="0" collapsed="false">
      <c r="A190" s="12" t="str">
        <f aca="false">IF('Grocery Purchases'!B187="","",'Grocery Purchases'!A187)</f>
        <v/>
      </c>
      <c r="B190" s="17" t="str">
        <f aca="false">IF('Grocery Purchases'!B187="","",'Grocery Purchases'!B187)</f>
        <v/>
      </c>
      <c r="C190" s="17" t="str">
        <f aca="false">IF('Grocery Purchases'!B187="","",'Grocery Purchases'!C187)</f>
        <v/>
      </c>
      <c r="D190" s="14" t="str">
        <f aca="false">IF('Grocery Purchases'!B187="","",'Grocery Purchases'!D187)</f>
        <v/>
      </c>
      <c r="E190" s="11" t="str">
        <f aca="false">IF('Grocery Purchases'!B187="","",'Grocery Purchases'!F187)</f>
        <v/>
      </c>
      <c r="F190" s="11" t="str">
        <f aca="false">IF('Grocery Purchases'!B187="","",'Grocery Purchases'!G187)</f>
        <v/>
      </c>
      <c r="G190" s="32" t="str">
        <f aca="false">IF('Grocery Purchases'!B187="","",'Grocery Purchases'!H187)</f>
        <v/>
      </c>
      <c r="H190" s="14" t="str">
        <f aca="false">IF('Grocery Purchases'!B187="","",'Grocery Purchases'!I187)</f>
        <v/>
      </c>
    </row>
    <row r="191" customFormat="false" ht="15" hidden="false" customHeight="true" outlineLevel="0" collapsed="false">
      <c r="A191" s="12" t="str">
        <f aca="false">IF('Grocery Purchases'!B188="","",'Grocery Purchases'!A188)</f>
        <v/>
      </c>
      <c r="B191" s="17" t="str">
        <f aca="false">IF('Grocery Purchases'!B188="","",'Grocery Purchases'!B188)</f>
        <v/>
      </c>
      <c r="C191" s="17" t="str">
        <f aca="false">IF('Grocery Purchases'!B188="","",'Grocery Purchases'!C188)</f>
        <v/>
      </c>
      <c r="D191" s="14" t="str">
        <f aca="false">IF('Grocery Purchases'!B188="","",'Grocery Purchases'!D188)</f>
        <v/>
      </c>
      <c r="E191" s="11" t="str">
        <f aca="false">IF('Grocery Purchases'!B188="","",'Grocery Purchases'!F188)</f>
        <v/>
      </c>
      <c r="F191" s="11" t="str">
        <f aca="false">IF('Grocery Purchases'!B188="","",'Grocery Purchases'!G188)</f>
        <v/>
      </c>
      <c r="G191" s="32" t="str">
        <f aca="false">IF('Grocery Purchases'!B188="","",'Grocery Purchases'!H188)</f>
        <v/>
      </c>
      <c r="H191" s="14" t="str">
        <f aca="false">IF('Grocery Purchases'!B188="","",'Grocery Purchases'!I188)</f>
        <v/>
      </c>
    </row>
    <row r="192" customFormat="false" ht="15" hidden="false" customHeight="true" outlineLevel="0" collapsed="false">
      <c r="A192" s="12" t="str">
        <f aca="false">IF('Grocery Purchases'!B189="","",'Grocery Purchases'!A189)</f>
        <v/>
      </c>
      <c r="B192" s="17" t="str">
        <f aca="false">IF('Grocery Purchases'!B189="","",'Grocery Purchases'!B189)</f>
        <v/>
      </c>
      <c r="C192" s="17" t="str">
        <f aca="false">IF('Grocery Purchases'!B189="","",'Grocery Purchases'!C189)</f>
        <v/>
      </c>
      <c r="D192" s="14" t="str">
        <f aca="false">IF('Grocery Purchases'!B189="","",'Grocery Purchases'!D189)</f>
        <v/>
      </c>
      <c r="E192" s="11" t="str">
        <f aca="false">IF('Grocery Purchases'!B189="","",'Grocery Purchases'!F189)</f>
        <v/>
      </c>
      <c r="F192" s="11" t="str">
        <f aca="false">IF('Grocery Purchases'!B189="","",'Grocery Purchases'!G189)</f>
        <v/>
      </c>
      <c r="G192" s="32" t="str">
        <f aca="false">IF('Grocery Purchases'!B189="","",'Grocery Purchases'!H189)</f>
        <v/>
      </c>
      <c r="H192" s="14" t="str">
        <f aca="false">IF('Grocery Purchases'!B189="","",'Grocery Purchases'!I189)</f>
        <v/>
      </c>
    </row>
    <row r="193" customFormat="false" ht="15" hidden="false" customHeight="true" outlineLevel="0" collapsed="false">
      <c r="A193" s="12" t="str">
        <f aca="false">IF('Grocery Purchases'!B190="","",'Grocery Purchases'!A190)</f>
        <v/>
      </c>
      <c r="B193" s="17" t="str">
        <f aca="false">IF('Grocery Purchases'!B190="","",'Grocery Purchases'!B190)</f>
        <v/>
      </c>
      <c r="C193" s="17" t="str">
        <f aca="false">IF('Grocery Purchases'!B190="","",'Grocery Purchases'!C190)</f>
        <v/>
      </c>
      <c r="D193" s="14" t="str">
        <f aca="false">IF('Grocery Purchases'!B190="","",'Grocery Purchases'!D190)</f>
        <v/>
      </c>
      <c r="E193" s="11" t="str">
        <f aca="false">IF('Grocery Purchases'!B190="","",'Grocery Purchases'!F190)</f>
        <v/>
      </c>
      <c r="F193" s="11" t="str">
        <f aca="false">IF('Grocery Purchases'!B190="","",'Grocery Purchases'!G190)</f>
        <v/>
      </c>
      <c r="G193" s="32" t="str">
        <f aca="false">IF('Grocery Purchases'!B190="","",'Grocery Purchases'!H190)</f>
        <v/>
      </c>
      <c r="H193" s="14" t="str">
        <f aca="false">IF('Grocery Purchases'!B190="","",'Grocery Purchases'!I190)</f>
        <v/>
      </c>
    </row>
    <row r="194" customFormat="false" ht="15" hidden="false" customHeight="true" outlineLevel="0" collapsed="false">
      <c r="A194" s="12" t="str">
        <f aca="false">IF('Grocery Purchases'!B191="","",'Grocery Purchases'!A191)</f>
        <v/>
      </c>
      <c r="B194" s="17" t="str">
        <f aca="false">IF('Grocery Purchases'!B191="","",'Grocery Purchases'!B191)</f>
        <v/>
      </c>
      <c r="C194" s="17" t="str">
        <f aca="false">IF('Grocery Purchases'!B191="","",'Grocery Purchases'!C191)</f>
        <v/>
      </c>
      <c r="D194" s="14" t="str">
        <f aca="false">IF('Grocery Purchases'!B191="","",'Grocery Purchases'!D191)</f>
        <v/>
      </c>
      <c r="E194" s="11" t="str">
        <f aca="false">IF('Grocery Purchases'!B191="","",'Grocery Purchases'!F191)</f>
        <v/>
      </c>
      <c r="F194" s="11" t="str">
        <f aca="false">IF('Grocery Purchases'!B191="","",'Grocery Purchases'!G191)</f>
        <v/>
      </c>
      <c r="G194" s="32" t="str">
        <f aca="false">IF('Grocery Purchases'!B191="","",'Grocery Purchases'!H191)</f>
        <v/>
      </c>
      <c r="H194" s="14" t="str">
        <f aca="false">IF('Grocery Purchases'!B191="","",'Grocery Purchases'!I191)</f>
        <v/>
      </c>
    </row>
    <row r="195" customFormat="false" ht="15" hidden="false" customHeight="true" outlineLevel="0" collapsed="false">
      <c r="A195" s="12" t="str">
        <f aca="false">IF('Grocery Purchases'!B192="","",'Grocery Purchases'!A192)</f>
        <v/>
      </c>
      <c r="B195" s="17" t="str">
        <f aca="false">IF('Grocery Purchases'!B192="","",'Grocery Purchases'!B192)</f>
        <v/>
      </c>
      <c r="C195" s="17" t="str">
        <f aca="false">IF('Grocery Purchases'!B192="","",'Grocery Purchases'!C192)</f>
        <v/>
      </c>
      <c r="D195" s="14" t="str">
        <f aca="false">IF('Grocery Purchases'!B192="","",'Grocery Purchases'!D192)</f>
        <v/>
      </c>
      <c r="E195" s="11" t="str">
        <f aca="false">IF('Grocery Purchases'!B192="","",'Grocery Purchases'!F192)</f>
        <v/>
      </c>
      <c r="F195" s="11" t="str">
        <f aca="false">IF('Grocery Purchases'!B192="","",'Grocery Purchases'!G192)</f>
        <v/>
      </c>
      <c r="G195" s="32" t="str">
        <f aca="false">IF('Grocery Purchases'!B192="","",'Grocery Purchases'!H192)</f>
        <v/>
      </c>
      <c r="H195" s="14" t="str">
        <f aca="false">IF('Grocery Purchases'!B192="","",'Grocery Purchases'!I192)</f>
        <v/>
      </c>
    </row>
    <row r="196" customFormat="false" ht="15" hidden="false" customHeight="true" outlineLevel="0" collapsed="false">
      <c r="A196" s="12" t="str">
        <f aca="false">IF('Grocery Purchases'!B193="","",'Grocery Purchases'!A193)</f>
        <v/>
      </c>
      <c r="B196" s="17" t="str">
        <f aca="false">IF('Grocery Purchases'!B193="","",'Grocery Purchases'!B193)</f>
        <v/>
      </c>
      <c r="C196" s="17" t="str">
        <f aca="false">IF('Grocery Purchases'!B193="","",'Grocery Purchases'!C193)</f>
        <v/>
      </c>
      <c r="D196" s="14" t="str">
        <f aca="false">IF('Grocery Purchases'!B193="","",'Grocery Purchases'!D193)</f>
        <v/>
      </c>
      <c r="E196" s="11" t="str">
        <f aca="false">IF('Grocery Purchases'!B193="","",'Grocery Purchases'!F193)</f>
        <v/>
      </c>
      <c r="F196" s="11" t="str">
        <f aca="false">IF('Grocery Purchases'!B193="","",'Grocery Purchases'!G193)</f>
        <v/>
      </c>
      <c r="G196" s="32" t="str">
        <f aca="false">IF('Grocery Purchases'!B193="","",'Grocery Purchases'!H193)</f>
        <v/>
      </c>
      <c r="H196" s="14" t="str">
        <f aca="false">IF('Grocery Purchases'!B193="","",'Grocery Purchases'!I193)</f>
        <v/>
      </c>
    </row>
    <row r="197" customFormat="false" ht="15" hidden="false" customHeight="true" outlineLevel="0" collapsed="false">
      <c r="A197" s="12" t="str">
        <f aca="false">IF('Grocery Purchases'!B194="","",'Grocery Purchases'!A194)</f>
        <v/>
      </c>
      <c r="B197" s="17" t="str">
        <f aca="false">IF('Grocery Purchases'!B194="","",'Grocery Purchases'!B194)</f>
        <v/>
      </c>
      <c r="C197" s="17" t="str">
        <f aca="false">IF('Grocery Purchases'!B194="","",'Grocery Purchases'!C194)</f>
        <v/>
      </c>
      <c r="D197" s="14" t="str">
        <f aca="false">IF('Grocery Purchases'!B194="","",'Grocery Purchases'!D194)</f>
        <v/>
      </c>
      <c r="E197" s="11" t="str">
        <f aca="false">IF('Grocery Purchases'!B194="","",'Grocery Purchases'!F194)</f>
        <v/>
      </c>
      <c r="F197" s="11" t="str">
        <f aca="false">IF('Grocery Purchases'!B194="","",'Grocery Purchases'!G194)</f>
        <v/>
      </c>
      <c r="G197" s="32" t="str">
        <f aca="false">IF('Grocery Purchases'!B194="","",'Grocery Purchases'!H194)</f>
        <v/>
      </c>
      <c r="H197" s="14" t="str">
        <f aca="false">IF('Grocery Purchases'!B194="","",'Grocery Purchases'!I194)</f>
        <v/>
      </c>
    </row>
    <row r="198" customFormat="false" ht="15" hidden="false" customHeight="true" outlineLevel="0" collapsed="false">
      <c r="A198" s="12" t="str">
        <f aca="false">IF('Grocery Purchases'!B195="","",'Grocery Purchases'!A195)</f>
        <v/>
      </c>
      <c r="B198" s="17" t="str">
        <f aca="false">IF('Grocery Purchases'!B195="","",'Grocery Purchases'!B195)</f>
        <v/>
      </c>
      <c r="C198" s="17" t="str">
        <f aca="false">IF('Grocery Purchases'!B195="","",'Grocery Purchases'!C195)</f>
        <v/>
      </c>
      <c r="D198" s="14" t="str">
        <f aca="false">IF('Grocery Purchases'!B195="","",'Grocery Purchases'!D195)</f>
        <v/>
      </c>
      <c r="E198" s="11" t="str">
        <f aca="false">IF('Grocery Purchases'!B195="","",'Grocery Purchases'!F195)</f>
        <v/>
      </c>
      <c r="F198" s="11" t="str">
        <f aca="false">IF('Grocery Purchases'!B195="","",'Grocery Purchases'!G195)</f>
        <v/>
      </c>
      <c r="G198" s="32" t="str">
        <f aca="false">IF('Grocery Purchases'!B195="","",'Grocery Purchases'!H195)</f>
        <v/>
      </c>
      <c r="H198" s="14" t="str">
        <f aca="false">IF('Grocery Purchases'!B195="","",'Grocery Purchases'!I195)</f>
        <v/>
      </c>
    </row>
    <row r="199" customFormat="false" ht="15" hidden="false" customHeight="true" outlineLevel="0" collapsed="false">
      <c r="A199" s="12" t="str">
        <f aca="false">IF('Grocery Purchases'!B196="","",'Grocery Purchases'!A196)</f>
        <v/>
      </c>
      <c r="B199" s="17" t="str">
        <f aca="false">IF('Grocery Purchases'!B196="","",'Grocery Purchases'!B196)</f>
        <v/>
      </c>
      <c r="C199" s="17" t="str">
        <f aca="false">IF('Grocery Purchases'!B196="","",'Grocery Purchases'!C196)</f>
        <v/>
      </c>
      <c r="D199" s="14" t="str">
        <f aca="false">IF('Grocery Purchases'!B196="","",'Grocery Purchases'!D196)</f>
        <v/>
      </c>
      <c r="E199" s="11" t="str">
        <f aca="false">IF('Grocery Purchases'!B196="","",'Grocery Purchases'!F196)</f>
        <v/>
      </c>
      <c r="F199" s="11" t="str">
        <f aca="false">IF('Grocery Purchases'!B196="","",'Grocery Purchases'!G196)</f>
        <v/>
      </c>
      <c r="G199" s="32" t="str">
        <f aca="false">IF('Grocery Purchases'!B196="","",'Grocery Purchases'!H196)</f>
        <v/>
      </c>
      <c r="H199" s="14" t="str">
        <f aca="false">IF('Grocery Purchases'!B196="","",'Grocery Purchases'!I196)</f>
        <v/>
      </c>
    </row>
    <row r="200" customFormat="false" ht="15" hidden="false" customHeight="true" outlineLevel="0" collapsed="false">
      <c r="A200" s="12" t="str">
        <f aca="false">IF('Grocery Purchases'!B197="","",'Grocery Purchases'!A197)</f>
        <v/>
      </c>
      <c r="B200" s="17" t="str">
        <f aca="false">IF('Grocery Purchases'!B197="","",'Grocery Purchases'!B197)</f>
        <v/>
      </c>
      <c r="C200" s="17" t="str">
        <f aca="false">IF('Grocery Purchases'!B197="","",'Grocery Purchases'!C197)</f>
        <v/>
      </c>
      <c r="D200" s="14" t="str">
        <f aca="false">IF('Grocery Purchases'!B197="","",'Grocery Purchases'!D197)</f>
        <v/>
      </c>
      <c r="E200" s="11" t="str">
        <f aca="false">IF('Grocery Purchases'!B197="","",'Grocery Purchases'!F197)</f>
        <v/>
      </c>
      <c r="F200" s="11" t="str">
        <f aca="false">IF('Grocery Purchases'!B197="","",'Grocery Purchases'!G197)</f>
        <v/>
      </c>
      <c r="G200" s="32" t="str">
        <f aca="false">IF('Grocery Purchases'!B197="","",'Grocery Purchases'!H197)</f>
        <v/>
      </c>
      <c r="H200" s="14" t="str">
        <f aca="false">IF('Grocery Purchases'!B197="","",'Grocery Purchases'!I197)</f>
        <v/>
      </c>
    </row>
    <row r="201" customFormat="false" ht="15" hidden="false" customHeight="true" outlineLevel="0" collapsed="false">
      <c r="A201" s="12" t="str">
        <f aca="false">IF('Grocery Purchases'!B198="","",'Grocery Purchases'!A198)</f>
        <v/>
      </c>
      <c r="B201" s="17" t="str">
        <f aca="false">IF('Grocery Purchases'!B198="","",'Grocery Purchases'!B198)</f>
        <v/>
      </c>
      <c r="C201" s="17" t="str">
        <f aca="false">IF('Grocery Purchases'!B198="","",'Grocery Purchases'!C198)</f>
        <v/>
      </c>
      <c r="D201" s="14" t="str">
        <f aca="false">IF('Grocery Purchases'!B198="","",'Grocery Purchases'!D198)</f>
        <v/>
      </c>
      <c r="E201" s="11" t="str">
        <f aca="false">IF('Grocery Purchases'!B198="","",'Grocery Purchases'!F198)</f>
        <v/>
      </c>
      <c r="F201" s="11" t="str">
        <f aca="false">IF('Grocery Purchases'!B198="","",'Grocery Purchases'!G198)</f>
        <v/>
      </c>
      <c r="G201" s="32" t="str">
        <f aca="false">IF('Grocery Purchases'!B198="","",'Grocery Purchases'!H198)</f>
        <v/>
      </c>
      <c r="H201" s="14" t="str">
        <f aca="false">IF('Grocery Purchases'!B198="","",'Grocery Purchases'!I198)</f>
        <v/>
      </c>
    </row>
    <row r="202" customFormat="false" ht="15" hidden="false" customHeight="true" outlineLevel="0" collapsed="false">
      <c r="A202" s="12" t="str">
        <f aca="false">IF('Grocery Purchases'!B199="","",'Grocery Purchases'!A199)</f>
        <v/>
      </c>
      <c r="B202" s="17" t="str">
        <f aca="false">IF('Grocery Purchases'!B199="","",'Grocery Purchases'!B199)</f>
        <v/>
      </c>
      <c r="C202" s="17" t="str">
        <f aca="false">IF('Grocery Purchases'!B199="","",'Grocery Purchases'!C199)</f>
        <v/>
      </c>
      <c r="D202" s="14" t="str">
        <f aca="false">IF('Grocery Purchases'!B199="","",'Grocery Purchases'!D199)</f>
        <v/>
      </c>
      <c r="E202" s="11" t="str">
        <f aca="false">IF('Grocery Purchases'!B199="","",'Grocery Purchases'!F199)</f>
        <v/>
      </c>
      <c r="F202" s="11" t="str">
        <f aca="false">IF('Grocery Purchases'!B199="","",'Grocery Purchases'!G199)</f>
        <v/>
      </c>
      <c r="G202" s="32" t="str">
        <f aca="false">IF('Grocery Purchases'!B199="","",'Grocery Purchases'!H199)</f>
        <v/>
      </c>
      <c r="H202" s="14" t="str">
        <f aca="false">IF('Grocery Purchases'!B199="","",'Grocery Purchases'!I199)</f>
        <v/>
      </c>
    </row>
    <row r="203" customFormat="false" ht="15" hidden="false" customHeight="true" outlineLevel="0" collapsed="false">
      <c r="A203" s="12" t="str">
        <f aca="false">IF('Grocery Purchases'!B200="","",'Grocery Purchases'!A200)</f>
        <v/>
      </c>
      <c r="B203" s="17" t="str">
        <f aca="false">IF('Grocery Purchases'!B200="","",'Grocery Purchases'!B200)</f>
        <v/>
      </c>
      <c r="C203" s="17" t="str">
        <f aca="false">IF('Grocery Purchases'!B200="","",'Grocery Purchases'!C200)</f>
        <v/>
      </c>
      <c r="D203" s="14" t="str">
        <f aca="false">IF('Grocery Purchases'!B200="","",'Grocery Purchases'!D200)</f>
        <v/>
      </c>
      <c r="E203" s="11" t="str">
        <f aca="false">IF('Grocery Purchases'!B200="","",'Grocery Purchases'!F200)</f>
        <v/>
      </c>
      <c r="F203" s="11" t="str">
        <f aca="false">IF('Grocery Purchases'!B200="","",'Grocery Purchases'!G200)</f>
        <v/>
      </c>
      <c r="G203" s="32" t="str">
        <f aca="false">IF('Grocery Purchases'!B200="","",'Grocery Purchases'!H200)</f>
        <v/>
      </c>
      <c r="H203" s="14" t="str">
        <f aca="false">IF('Grocery Purchases'!B200="","",'Grocery Purchases'!I200)</f>
        <v/>
      </c>
    </row>
    <row r="204" customFormat="false" ht="15" hidden="false" customHeight="true" outlineLevel="0" collapsed="false">
      <c r="A204" s="12" t="str">
        <f aca="false">IF('Grocery Purchases'!B201="","",'Grocery Purchases'!A201)</f>
        <v/>
      </c>
      <c r="B204" s="17" t="str">
        <f aca="false">IF('Grocery Purchases'!B201="","",'Grocery Purchases'!B201)</f>
        <v/>
      </c>
      <c r="C204" s="17" t="str">
        <f aca="false">IF('Grocery Purchases'!B201="","",'Grocery Purchases'!C201)</f>
        <v/>
      </c>
      <c r="D204" s="14" t="str">
        <f aca="false">IF('Grocery Purchases'!B201="","",'Grocery Purchases'!D201)</f>
        <v/>
      </c>
      <c r="E204" s="11" t="str">
        <f aca="false">IF('Grocery Purchases'!B201="","",'Grocery Purchases'!F201)</f>
        <v/>
      </c>
      <c r="F204" s="11" t="str">
        <f aca="false">IF('Grocery Purchases'!B201="","",'Grocery Purchases'!G201)</f>
        <v/>
      </c>
      <c r="G204" s="32" t="str">
        <f aca="false">IF('Grocery Purchases'!B201="","",'Grocery Purchases'!H201)</f>
        <v/>
      </c>
      <c r="H204" s="14" t="str">
        <f aca="false">IF('Grocery Purchases'!B201="","",'Grocery Purchases'!I201)</f>
        <v/>
      </c>
    </row>
    <row r="205" customFormat="false" ht="15" hidden="false" customHeight="true" outlineLevel="0" collapsed="false">
      <c r="A205" s="12" t="str">
        <f aca="false">IF('Grocery Purchases'!B202="","",'Grocery Purchases'!A202)</f>
        <v/>
      </c>
      <c r="B205" s="17" t="str">
        <f aca="false">IF('Grocery Purchases'!B202="","",'Grocery Purchases'!B202)</f>
        <v/>
      </c>
      <c r="C205" s="17" t="str">
        <f aca="false">IF('Grocery Purchases'!B202="","",'Grocery Purchases'!C202)</f>
        <v/>
      </c>
      <c r="D205" s="14" t="str">
        <f aca="false">IF('Grocery Purchases'!B202="","",'Grocery Purchases'!D202)</f>
        <v/>
      </c>
      <c r="E205" s="11" t="str">
        <f aca="false">IF('Grocery Purchases'!B202="","",'Grocery Purchases'!F202)</f>
        <v/>
      </c>
      <c r="F205" s="11" t="str">
        <f aca="false">IF('Grocery Purchases'!B202="","",'Grocery Purchases'!G202)</f>
        <v/>
      </c>
      <c r="G205" s="32" t="str">
        <f aca="false">IF('Grocery Purchases'!B202="","",'Grocery Purchases'!H202)</f>
        <v/>
      </c>
      <c r="H205" s="14" t="str">
        <f aca="false">IF('Grocery Purchases'!B202="","",'Grocery Purchases'!I202)</f>
        <v/>
      </c>
    </row>
    <row r="206" customFormat="false" ht="15" hidden="false" customHeight="true" outlineLevel="0" collapsed="false">
      <c r="A206" s="12" t="str">
        <f aca="false">IF('Grocery Purchases'!B203="","",'Grocery Purchases'!A203)</f>
        <v/>
      </c>
      <c r="B206" s="17" t="str">
        <f aca="false">IF('Grocery Purchases'!B203="","",'Grocery Purchases'!B203)</f>
        <v/>
      </c>
      <c r="C206" s="17" t="str">
        <f aca="false">IF('Grocery Purchases'!B203="","",'Grocery Purchases'!C203)</f>
        <v/>
      </c>
      <c r="D206" s="14" t="str">
        <f aca="false">IF('Grocery Purchases'!B203="","",'Grocery Purchases'!D203)</f>
        <v/>
      </c>
      <c r="E206" s="11" t="str">
        <f aca="false">IF('Grocery Purchases'!B203="","",'Grocery Purchases'!F203)</f>
        <v/>
      </c>
      <c r="F206" s="11" t="str">
        <f aca="false">IF('Grocery Purchases'!B203="","",'Grocery Purchases'!G203)</f>
        <v/>
      </c>
      <c r="G206" s="32" t="str">
        <f aca="false">IF('Grocery Purchases'!B203="","",'Grocery Purchases'!H203)</f>
        <v/>
      </c>
      <c r="H206" s="14" t="str">
        <f aca="false">IF('Grocery Purchases'!B203="","",'Grocery Purchases'!I203)</f>
        <v/>
      </c>
    </row>
    <row r="207" customFormat="false" ht="15" hidden="false" customHeight="true" outlineLevel="0" collapsed="false">
      <c r="A207" s="12" t="str">
        <f aca="false">IF('Grocery Purchases'!B204="","",'Grocery Purchases'!A204)</f>
        <v/>
      </c>
      <c r="B207" s="17" t="str">
        <f aca="false">IF('Grocery Purchases'!B204="","",'Grocery Purchases'!B204)</f>
        <v/>
      </c>
      <c r="C207" s="17" t="str">
        <f aca="false">IF('Grocery Purchases'!B204="","",'Grocery Purchases'!C204)</f>
        <v/>
      </c>
      <c r="D207" s="14" t="str">
        <f aca="false">IF('Grocery Purchases'!B204="","",'Grocery Purchases'!D204)</f>
        <v/>
      </c>
      <c r="E207" s="11" t="str">
        <f aca="false">IF('Grocery Purchases'!B204="","",'Grocery Purchases'!F204)</f>
        <v/>
      </c>
      <c r="F207" s="11" t="str">
        <f aca="false">IF('Grocery Purchases'!B204="","",'Grocery Purchases'!G204)</f>
        <v/>
      </c>
      <c r="G207" s="32" t="str">
        <f aca="false">IF('Grocery Purchases'!B204="","",'Grocery Purchases'!H204)</f>
        <v/>
      </c>
      <c r="H207" s="14" t="str">
        <f aca="false">IF('Grocery Purchases'!B204="","",'Grocery Purchases'!I204)</f>
        <v/>
      </c>
    </row>
    <row r="208" customFormat="false" ht="15" hidden="false" customHeight="true" outlineLevel="0" collapsed="false">
      <c r="A208" s="12" t="str">
        <f aca="false">IF('Grocery Purchases'!B205="","",'Grocery Purchases'!A205)</f>
        <v/>
      </c>
      <c r="B208" s="17" t="str">
        <f aca="false">IF('Grocery Purchases'!B205="","",'Grocery Purchases'!B205)</f>
        <v/>
      </c>
      <c r="C208" s="17" t="str">
        <f aca="false">IF('Grocery Purchases'!B205="","",'Grocery Purchases'!C205)</f>
        <v/>
      </c>
      <c r="D208" s="14" t="str">
        <f aca="false">IF('Grocery Purchases'!B205="","",'Grocery Purchases'!D205)</f>
        <v/>
      </c>
      <c r="E208" s="11" t="str">
        <f aca="false">IF('Grocery Purchases'!B205="","",'Grocery Purchases'!F205)</f>
        <v/>
      </c>
      <c r="F208" s="11" t="str">
        <f aca="false">IF('Grocery Purchases'!B205="","",'Grocery Purchases'!G205)</f>
        <v/>
      </c>
      <c r="G208" s="32" t="str">
        <f aca="false">IF('Grocery Purchases'!B205="","",'Grocery Purchases'!H205)</f>
        <v/>
      </c>
      <c r="H208" s="14" t="str">
        <f aca="false">IF('Grocery Purchases'!B205="","",'Grocery Purchases'!I205)</f>
        <v/>
      </c>
    </row>
    <row r="209" customFormat="false" ht="15" hidden="false" customHeight="true" outlineLevel="0" collapsed="false">
      <c r="A209" s="12" t="str">
        <f aca="false">IF('Grocery Purchases'!B206="","",'Grocery Purchases'!A206)</f>
        <v/>
      </c>
      <c r="B209" s="17" t="str">
        <f aca="false">IF('Grocery Purchases'!B206="","",'Grocery Purchases'!B206)</f>
        <v/>
      </c>
      <c r="C209" s="17" t="str">
        <f aca="false">IF('Grocery Purchases'!B206="","",'Grocery Purchases'!C206)</f>
        <v/>
      </c>
      <c r="D209" s="14" t="str">
        <f aca="false">IF('Grocery Purchases'!B206="","",'Grocery Purchases'!D206)</f>
        <v/>
      </c>
      <c r="E209" s="11" t="str">
        <f aca="false">IF('Grocery Purchases'!B206="","",'Grocery Purchases'!F206)</f>
        <v/>
      </c>
      <c r="F209" s="11" t="str">
        <f aca="false">IF('Grocery Purchases'!B206="","",'Grocery Purchases'!G206)</f>
        <v/>
      </c>
      <c r="G209" s="32" t="str">
        <f aca="false">IF('Grocery Purchases'!B206="","",'Grocery Purchases'!H206)</f>
        <v/>
      </c>
      <c r="H209" s="14" t="str">
        <f aca="false">IF('Grocery Purchases'!B206="","",'Grocery Purchases'!I206)</f>
        <v/>
      </c>
    </row>
    <row r="210" customFormat="false" ht="15" hidden="false" customHeight="true" outlineLevel="0" collapsed="false">
      <c r="A210" s="12" t="str">
        <f aca="false">IF('Grocery Purchases'!B207="","",'Grocery Purchases'!A207)</f>
        <v/>
      </c>
      <c r="B210" s="17" t="str">
        <f aca="false">IF('Grocery Purchases'!B207="","",'Grocery Purchases'!B207)</f>
        <v/>
      </c>
      <c r="C210" s="17" t="str">
        <f aca="false">IF('Grocery Purchases'!B207="","",'Grocery Purchases'!C207)</f>
        <v/>
      </c>
      <c r="D210" s="14" t="str">
        <f aca="false">IF('Grocery Purchases'!B207="","",'Grocery Purchases'!D207)</f>
        <v/>
      </c>
      <c r="E210" s="11" t="str">
        <f aca="false">IF('Grocery Purchases'!B207="","",'Grocery Purchases'!F207)</f>
        <v/>
      </c>
      <c r="F210" s="11" t="str">
        <f aca="false">IF('Grocery Purchases'!B207="","",'Grocery Purchases'!G207)</f>
        <v/>
      </c>
      <c r="G210" s="32" t="str">
        <f aca="false">IF('Grocery Purchases'!B207="","",'Grocery Purchases'!H207)</f>
        <v/>
      </c>
      <c r="H210" s="14" t="str">
        <f aca="false">IF('Grocery Purchases'!B207="","",'Grocery Purchases'!I207)</f>
        <v/>
      </c>
    </row>
    <row r="211" customFormat="false" ht="15" hidden="false" customHeight="true" outlineLevel="0" collapsed="false">
      <c r="A211" s="12" t="str">
        <f aca="false">IF('Grocery Purchases'!B208="","",'Grocery Purchases'!A208)</f>
        <v/>
      </c>
      <c r="B211" s="17" t="str">
        <f aca="false">IF('Grocery Purchases'!B208="","",'Grocery Purchases'!B208)</f>
        <v/>
      </c>
      <c r="C211" s="17" t="str">
        <f aca="false">IF('Grocery Purchases'!B208="","",'Grocery Purchases'!C208)</f>
        <v/>
      </c>
      <c r="D211" s="14" t="str">
        <f aca="false">IF('Grocery Purchases'!B208="","",'Grocery Purchases'!D208)</f>
        <v/>
      </c>
      <c r="E211" s="11" t="str">
        <f aca="false">IF('Grocery Purchases'!B208="","",'Grocery Purchases'!F208)</f>
        <v/>
      </c>
      <c r="F211" s="11" t="str">
        <f aca="false">IF('Grocery Purchases'!B208="","",'Grocery Purchases'!G208)</f>
        <v/>
      </c>
      <c r="G211" s="32" t="str">
        <f aca="false">IF('Grocery Purchases'!B208="","",'Grocery Purchases'!H208)</f>
        <v/>
      </c>
      <c r="H211" s="14" t="str">
        <f aca="false">IF('Grocery Purchases'!B208="","",'Grocery Purchases'!I208)</f>
        <v/>
      </c>
    </row>
    <row r="212" customFormat="false" ht="15" hidden="false" customHeight="true" outlineLevel="0" collapsed="false">
      <c r="A212" s="12" t="str">
        <f aca="false">IF('Grocery Purchases'!B209="","",'Grocery Purchases'!A209)</f>
        <v/>
      </c>
      <c r="B212" s="17" t="str">
        <f aca="false">IF('Grocery Purchases'!B209="","",'Grocery Purchases'!B209)</f>
        <v/>
      </c>
      <c r="C212" s="17" t="str">
        <f aca="false">IF('Grocery Purchases'!B209="","",'Grocery Purchases'!C209)</f>
        <v/>
      </c>
      <c r="D212" s="14" t="str">
        <f aca="false">IF('Grocery Purchases'!B209="","",'Grocery Purchases'!D209)</f>
        <v/>
      </c>
      <c r="E212" s="11" t="str">
        <f aca="false">IF('Grocery Purchases'!B209="","",'Grocery Purchases'!F209)</f>
        <v/>
      </c>
      <c r="F212" s="11" t="str">
        <f aca="false">IF('Grocery Purchases'!B209="","",'Grocery Purchases'!G209)</f>
        <v/>
      </c>
      <c r="G212" s="32" t="str">
        <f aca="false">IF('Grocery Purchases'!B209="","",'Grocery Purchases'!H209)</f>
        <v/>
      </c>
      <c r="H212" s="14" t="str">
        <f aca="false">IF('Grocery Purchases'!B209="","",'Grocery Purchases'!I209)</f>
        <v/>
      </c>
    </row>
    <row r="213" customFormat="false" ht="15" hidden="false" customHeight="true" outlineLevel="0" collapsed="false">
      <c r="A213" s="12" t="str">
        <f aca="false">IF('Grocery Purchases'!B210="","",'Grocery Purchases'!A210)</f>
        <v/>
      </c>
      <c r="B213" s="17" t="str">
        <f aca="false">IF('Grocery Purchases'!B210="","",'Grocery Purchases'!B210)</f>
        <v/>
      </c>
      <c r="C213" s="17" t="str">
        <f aca="false">IF('Grocery Purchases'!B210="","",'Grocery Purchases'!C210)</f>
        <v/>
      </c>
      <c r="D213" s="14" t="str">
        <f aca="false">IF('Grocery Purchases'!B210="","",'Grocery Purchases'!D210)</f>
        <v/>
      </c>
      <c r="E213" s="11" t="str">
        <f aca="false">IF('Grocery Purchases'!B210="","",'Grocery Purchases'!F210)</f>
        <v/>
      </c>
      <c r="F213" s="11" t="str">
        <f aca="false">IF('Grocery Purchases'!B210="","",'Grocery Purchases'!G210)</f>
        <v/>
      </c>
      <c r="G213" s="32" t="str">
        <f aca="false">IF('Grocery Purchases'!B210="","",'Grocery Purchases'!H210)</f>
        <v/>
      </c>
      <c r="H213" s="14" t="str">
        <f aca="false">IF('Grocery Purchases'!B210="","",'Grocery Purchases'!I210)</f>
        <v/>
      </c>
    </row>
    <row r="214" customFormat="false" ht="15" hidden="false" customHeight="true" outlineLevel="0" collapsed="false">
      <c r="A214" s="12" t="str">
        <f aca="false">IF('Grocery Purchases'!B211="","",'Grocery Purchases'!A211)</f>
        <v/>
      </c>
      <c r="B214" s="17" t="str">
        <f aca="false">IF('Grocery Purchases'!B211="","",'Grocery Purchases'!B211)</f>
        <v/>
      </c>
      <c r="C214" s="17" t="str">
        <f aca="false">IF('Grocery Purchases'!B211="","",'Grocery Purchases'!C211)</f>
        <v/>
      </c>
      <c r="D214" s="14" t="str">
        <f aca="false">IF('Grocery Purchases'!B211="","",'Grocery Purchases'!D211)</f>
        <v/>
      </c>
      <c r="E214" s="11" t="str">
        <f aca="false">IF('Grocery Purchases'!B211="","",'Grocery Purchases'!F211)</f>
        <v/>
      </c>
      <c r="F214" s="11" t="str">
        <f aca="false">IF('Grocery Purchases'!B211="","",'Grocery Purchases'!G211)</f>
        <v/>
      </c>
      <c r="G214" s="32" t="str">
        <f aca="false">IF('Grocery Purchases'!B211="","",'Grocery Purchases'!H211)</f>
        <v/>
      </c>
      <c r="H214" s="14" t="str">
        <f aca="false">IF('Grocery Purchases'!B211="","",'Grocery Purchases'!I211)</f>
        <v/>
      </c>
    </row>
    <row r="215" customFormat="false" ht="15" hidden="false" customHeight="true" outlineLevel="0" collapsed="false">
      <c r="A215" s="12" t="str">
        <f aca="false">IF('Grocery Purchases'!B212="","",'Grocery Purchases'!A212)</f>
        <v/>
      </c>
      <c r="B215" s="17" t="str">
        <f aca="false">IF('Grocery Purchases'!B212="","",'Grocery Purchases'!B212)</f>
        <v/>
      </c>
      <c r="C215" s="17" t="str">
        <f aca="false">IF('Grocery Purchases'!B212="","",'Grocery Purchases'!C212)</f>
        <v/>
      </c>
      <c r="D215" s="14" t="str">
        <f aca="false">IF('Grocery Purchases'!B212="","",'Grocery Purchases'!D212)</f>
        <v/>
      </c>
      <c r="E215" s="11" t="str">
        <f aca="false">IF('Grocery Purchases'!B212="","",'Grocery Purchases'!F212)</f>
        <v/>
      </c>
      <c r="F215" s="11" t="str">
        <f aca="false">IF('Grocery Purchases'!B212="","",'Grocery Purchases'!G212)</f>
        <v/>
      </c>
      <c r="G215" s="32" t="str">
        <f aca="false">IF('Grocery Purchases'!B212="","",'Grocery Purchases'!H212)</f>
        <v/>
      </c>
      <c r="H215" s="14" t="str">
        <f aca="false">IF('Grocery Purchases'!B212="","",'Grocery Purchases'!I212)</f>
        <v/>
      </c>
    </row>
    <row r="216" customFormat="false" ht="15" hidden="false" customHeight="true" outlineLevel="0" collapsed="false">
      <c r="A216" s="12" t="str">
        <f aca="false">IF('Grocery Purchases'!B213="","",'Grocery Purchases'!A213)</f>
        <v/>
      </c>
      <c r="B216" s="17" t="str">
        <f aca="false">IF('Grocery Purchases'!B213="","",'Grocery Purchases'!B213)</f>
        <v/>
      </c>
      <c r="C216" s="17" t="str">
        <f aca="false">IF('Grocery Purchases'!B213="","",'Grocery Purchases'!C213)</f>
        <v/>
      </c>
      <c r="D216" s="14" t="str">
        <f aca="false">IF('Grocery Purchases'!B213="","",'Grocery Purchases'!D213)</f>
        <v/>
      </c>
      <c r="E216" s="11" t="str">
        <f aca="false">IF('Grocery Purchases'!B213="","",'Grocery Purchases'!F213)</f>
        <v/>
      </c>
      <c r="F216" s="11" t="str">
        <f aca="false">IF('Grocery Purchases'!B213="","",'Grocery Purchases'!G213)</f>
        <v/>
      </c>
      <c r="G216" s="32" t="str">
        <f aca="false">IF('Grocery Purchases'!B213="","",'Grocery Purchases'!H213)</f>
        <v/>
      </c>
      <c r="H216" s="14" t="str">
        <f aca="false">IF('Grocery Purchases'!B213="","",'Grocery Purchases'!I213)</f>
        <v/>
      </c>
    </row>
    <row r="217" customFormat="false" ht="15" hidden="false" customHeight="true" outlineLevel="0" collapsed="false">
      <c r="A217" s="12" t="str">
        <f aca="false">IF('Grocery Purchases'!B214="","",'Grocery Purchases'!A214)</f>
        <v/>
      </c>
      <c r="B217" s="17" t="str">
        <f aca="false">IF('Grocery Purchases'!B214="","",'Grocery Purchases'!B214)</f>
        <v/>
      </c>
      <c r="C217" s="17" t="str">
        <f aca="false">IF('Grocery Purchases'!B214="","",'Grocery Purchases'!C214)</f>
        <v/>
      </c>
      <c r="D217" s="14" t="str">
        <f aca="false">IF('Grocery Purchases'!B214="","",'Grocery Purchases'!D214)</f>
        <v/>
      </c>
      <c r="E217" s="11" t="str">
        <f aca="false">IF('Grocery Purchases'!B214="","",'Grocery Purchases'!F214)</f>
        <v/>
      </c>
      <c r="F217" s="11" t="str">
        <f aca="false">IF('Grocery Purchases'!B214="","",'Grocery Purchases'!G214)</f>
        <v/>
      </c>
      <c r="G217" s="32" t="str">
        <f aca="false">IF('Grocery Purchases'!B214="","",'Grocery Purchases'!H214)</f>
        <v/>
      </c>
      <c r="H217" s="14" t="str">
        <f aca="false">IF('Grocery Purchases'!B214="","",'Grocery Purchases'!I214)</f>
        <v/>
      </c>
    </row>
    <row r="218" customFormat="false" ht="15" hidden="false" customHeight="true" outlineLevel="0" collapsed="false">
      <c r="A218" s="12" t="str">
        <f aca="false">IF('Grocery Purchases'!B215="","",'Grocery Purchases'!A215)</f>
        <v/>
      </c>
      <c r="B218" s="17" t="str">
        <f aca="false">IF('Grocery Purchases'!B215="","",'Grocery Purchases'!B215)</f>
        <v/>
      </c>
      <c r="C218" s="17" t="str">
        <f aca="false">IF('Grocery Purchases'!B215="","",'Grocery Purchases'!C215)</f>
        <v/>
      </c>
      <c r="D218" s="14" t="str">
        <f aca="false">IF('Grocery Purchases'!B215="","",'Grocery Purchases'!D215)</f>
        <v/>
      </c>
      <c r="E218" s="11" t="str">
        <f aca="false">IF('Grocery Purchases'!B215="","",'Grocery Purchases'!F215)</f>
        <v/>
      </c>
      <c r="F218" s="11" t="str">
        <f aca="false">IF('Grocery Purchases'!B215="","",'Grocery Purchases'!G215)</f>
        <v/>
      </c>
      <c r="G218" s="32" t="str">
        <f aca="false">IF('Grocery Purchases'!B215="","",'Grocery Purchases'!H215)</f>
        <v/>
      </c>
      <c r="H218" s="14" t="str">
        <f aca="false">IF('Grocery Purchases'!B215="","",'Grocery Purchases'!I215)</f>
        <v/>
      </c>
    </row>
    <row r="219" customFormat="false" ht="15" hidden="false" customHeight="true" outlineLevel="0" collapsed="false">
      <c r="A219" s="12" t="str">
        <f aca="false">IF('Grocery Purchases'!B216="","",'Grocery Purchases'!A216)</f>
        <v/>
      </c>
      <c r="B219" s="17" t="str">
        <f aca="false">IF('Grocery Purchases'!B216="","",'Grocery Purchases'!B216)</f>
        <v/>
      </c>
      <c r="C219" s="17" t="str">
        <f aca="false">IF('Grocery Purchases'!B216="","",'Grocery Purchases'!C216)</f>
        <v/>
      </c>
      <c r="D219" s="14" t="str">
        <f aca="false">IF('Grocery Purchases'!B216="","",'Grocery Purchases'!D216)</f>
        <v/>
      </c>
      <c r="E219" s="11" t="str">
        <f aca="false">IF('Grocery Purchases'!B216="","",'Grocery Purchases'!F216)</f>
        <v/>
      </c>
      <c r="F219" s="11" t="str">
        <f aca="false">IF('Grocery Purchases'!B216="","",'Grocery Purchases'!G216)</f>
        <v/>
      </c>
      <c r="G219" s="32" t="str">
        <f aca="false">IF('Grocery Purchases'!B216="","",'Grocery Purchases'!H216)</f>
        <v/>
      </c>
      <c r="H219" s="14" t="str">
        <f aca="false">IF('Grocery Purchases'!B216="","",'Grocery Purchases'!I216)</f>
        <v/>
      </c>
    </row>
    <row r="220" customFormat="false" ht="15" hidden="false" customHeight="true" outlineLevel="0" collapsed="false">
      <c r="A220" s="12" t="str">
        <f aca="false">IF('Grocery Purchases'!B217="","",'Grocery Purchases'!A217)</f>
        <v/>
      </c>
      <c r="B220" s="17" t="str">
        <f aca="false">IF('Grocery Purchases'!B217="","",'Grocery Purchases'!B217)</f>
        <v/>
      </c>
      <c r="C220" s="17" t="str">
        <f aca="false">IF('Grocery Purchases'!B217="","",'Grocery Purchases'!C217)</f>
        <v/>
      </c>
      <c r="D220" s="14" t="str">
        <f aca="false">IF('Grocery Purchases'!B217="","",'Grocery Purchases'!D217)</f>
        <v/>
      </c>
      <c r="E220" s="11" t="str">
        <f aca="false">IF('Grocery Purchases'!B217="","",'Grocery Purchases'!F217)</f>
        <v/>
      </c>
      <c r="F220" s="11" t="str">
        <f aca="false">IF('Grocery Purchases'!B217="","",'Grocery Purchases'!G217)</f>
        <v/>
      </c>
      <c r="G220" s="32" t="str">
        <f aca="false">IF('Grocery Purchases'!B217="","",'Grocery Purchases'!H217)</f>
        <v/>
      </c>
      <c r="H220" s="14" t="str">
        <f aca="false">IF('Grocery Purchases'!B217="","",'Grocery Purchases'!I217)</f>
        <v/>
      </c>
    </row>
    <row r="221" customFormat="false" ht="15" hidden="false" customHeight="true" outlineLevel="0" collapsed="false">
      <c r="A221" s="12" t="str">
        <f aca="false">IF('Grocery Purchases'!B218="","",'Grocery Purchases'!A218)</f>
        <v/>
      </c>
      <c r="B221" s="17" t="str">
        <f aca="false">IF('Grocery Purchases'!B218="","",'Grocery Purchases'!B218)</f>
        <v/>
      </c>
      <c r="C221" s="17" t="str">
        <f aca="false">IF('Grocery Purchases'!B218="","",'Grocery Purchases'!C218)</f>
        <v/>
      </c>
      <c r="D221" s="14" t="str">
        <f aca="false">IF('Grocery Purchases'!B218="","",'Grocery Purchases'!D218)</f>
        <v/>
      </c>
      <c r="E221" s="11" t="str">
        <f aca="false">IF('Grocery Purchases'!B218="","",'Grocery Purchases'!F218)</f>
        <v/>
      </c>
      <c r="F221" s="11" t="str">
        <f aca="false">IF('Grocery Purchases'!B218="","",'Grocery Purchases'!G218)</f>
        <v/>
      </c>
      <c r="G221" s="32" t="str">
        <f aca="false">IF('Grocery Purchases'!B218="","",'Grocery Purchases'!H218)</f>
        <v/>
      </c>
      <c r="H221" s="14" t="str">
        <f aca="false">IF('Grocery Purchases'!B218="","",'Grocery Purchases'!I218)</f>
        <v/>
      </c>
    </row>
    <row r="222" customFormat="false" ht="15" hidden="false" customHeight="true" outlineLevel="0" collapsed="false">
      <c r="A222" s="12" t="str">
        <f aca="false">IF('Grocery Purchases'!B219="","",'Grocery Purchases'!A219)</f>
        <v/>
      </c>
      <c r="B222" s="17" t="str">
        <f aca="false">IF('Grocery Purchases'!B219="","",'Grocery Purchases'!B219)</f>
        <v/>
      </c>
      <c r="C222" s="17" t="str">
        <f aca="false">IF('Grocery Purchases'!B219="","",'Grocery Purchases'!C219)</f>
        <v/>
      </c>
      <c r="D222" s="14" t="str">
        <f aca="false">IF('Grocery Purchases'!B219="","",'Grocery Purchases'!D219)</f>
        <v/>
      </c>
      <c r="E222" s="11" t="str">
        <f aca="false">IF('Grocery Purchases'!B219="","",'Grocery Purchases'!F219)</f>
        <v/>
      </c>
      <c r="F222" s="11" t="str">
        <f aca="false">IF('Grocery Purchases'!B219="","",'Grocery Purchases'!G219)</f>
        <v/>
      </c>
      <c r="G222" s="32" t="str">
        <f aca="false">IF('Grocery Purchases'!B219="","",'Grocery Purchases'!H219)</f>
        <v/>
      </c>
      <c r="H222" s="14" t="str">
        <f aca="false">IF('Grocery Purchases'!B219="","",'Grocery Purchases'!I219)</f>
        <v/>
      </c>
    </row>
    <row r="223" customFormat="false" ht="15" hidden="false" customHeight="true" outlineLevel="0" collapsed="false">
      <c r="A223" s="12" t="str">
        <f aca="false">IF('Grocery Purchases'!B220="","",'Grocery Purchases'!A220)</f>
        <v/>
      </c>
      <c r="B223" s="17" t="str">
        <f aca="false">IF('Grocery Purchases'!B220="","",'Grocery Purchases'!B220)</f>
        <v/>
      </c>
      <c r="C223" s="17" t="str">
        <f aca="false">IF('Grocery Purchases'!B220="","",'Grocery Purchases'!C220)</f>
        <v/>
      </c>
      <c r="D223" s="14" t="str">
        <f aca="false">IF('Grocery Purchases'!B220="","",'Grocery Purchases'!D220)</f>
        <v/>
      </c>
      <c r="E223" s="11" t="str">
        <f aca="false">IF('Grocery Purchases'!B220="","",'Grocery Purchases'!F220)</f>
        <v/>
      </c>
      <c r="F223" s="11" t="str">
        <f aca="false">IF('Grocery Purchases'!B220="","",'Grocery Purchases'!G220)</f>
        <v/>
      </c>
      <c r="G223" s="32" t="str">
        <f aca="false">IF('Grocery Purchases'!B220="","",'Grocery Purchases'!H220)</f>
        <v/>
      </c>
      <c r="H223" s="14" t="str">
        <f aca="false">IF('Grocery Purchases'!B220="","",'Grocery Purchases'!I220)</f>
        <v/>
      </c>
    </row>
    <row r="224" customFormat="false" ht="15" hidden="false" customHeight="true" outlineLevel="0" collapsed="false">
      <c r="A224" s="12" t="str">
        <f aca="false">IF('Grocery Purchases'!B221="","",'Grocery Purchases'!A221)</f>
        <v/>
      </c>
      <c r="B224" s="17" t="str">
        <f aca="false">IF('Grocery Purchases'!B221="","",'Grocery Purchases'!B221)</f>
        <v/>
      </c>
      <c r="C224" s="17" t="str">
        <f aca="false">IF('Grocery Purchases'!B221="","",'Grocery Purchases'!C221)</f>
        <v/>
      </c>
      <c r="D224" s="14" t="str">
        <f aca="false">IF('Grocery Purchases'!B221="","",'Grocery Purchases'!D221)</f>
        <v/>
      </c>
      <c r="E224" s="11" t="str">
        <f aca="false">IF('Grocery Purchases'!B221="","",'Grocery Purchases'!F221)</f>
        <v/>
      </c>
      <c r="F224" s="11" t="str">
        <f aca="false">IF('Grocery Purchases'!B221="","",'Grocery Purchases'!G221)</f>
        <v/>
      </c>
      <c r="G224" s="32" t="str">
        <f aca="false">IF('Grocery Purchases'!B221="","",'Grocery Purchases'!H221)</f>
        <v/>
      </c>
      <c r="H224" s="14" t="str">
        <f aca="false">IF('Grocery Purchases'!B221="","",'Grocery Purchases'!I221)</f>
        <v/>
      </c>
    </row>
    <row r="225" customFormat="false" ht="15" hidden="false" customHeight="true" outlineLevel="0" collapsed="false">
      <c r="A225" s="12" t="str">
        <f aca="false">IF('Grocery Purchases'!B222="","",'Grocery Purchases'!A222)</f>
        <v/>
      </c>
      <c r="B225" s="17" t="str">
        <f aca="false">IF('Grocery Purchases'!B222="","",'Grocery Purchases'!B222)</f>
        <v/>
      </c>
      <c r="C225" s="17" t="str">
        <f aca="false">IF('Grocery Purchases'!B222="","",'Grocery Purchases'!C222)</f>
        <v/>
      </c>
      <c r="D225" s="14" t="str">
        <f aca="false">IF('Grocery Purchases'!B222="","",'Grocery Purchases'!D222)</f>
        <v/>
      </c>
      <c r="E225" s="11" t="str">
        <f aca="false">IF('Grocery Purchases'!B222="","",'Grocery Purchases'!F222)</f>
        <v/>
      </c>
      <c r="F225" s="11" t="str">
        <f aca="false">IF('Grocery Purchases'!B222="","",'Grocery Purchases'!G222)</f>
        <v/>
      </c>
      <c r="G225" s="32" t="str">
        <f aca="false">IF('Grocery Purchases'!B222="","",'Grocery Purchases'!H222)</f>
        <v/>
      </c>
      <c r="H225" s="14" t="str">
        <f aca="false">IF('Grocery Purchases'!B222="","",'Grocery Purchases'!I222)</f>
        <v/>
      </c>
    </row>
    <row r="226" customFormat="false" ht="15" hidden="false" customHeight="true" outlineLevel="0" collapsed="false">
      <c r="A226" s="12" t="str">
        <f aca="false">IF('Grocery Purchases'!B223="","",'Grocery Purchases'!A223)</f>
        <v/>
      </c>
      <c r="B226" s="17" t="str">
        <f aca="false">IF('Grocery Purchases'!B223="","",'Grocery Purchases'!B223)</f>
        <v/>
      </c>
      <c r="C226" s="17" t="str">
        <f aca="false">IF('Grocery Purchases'!B223="","",'Grocery Purchases'!C223)</f>
        <v/>
      </c>
      <c r="D226" s="14" t="str">
        <f aca="false">IF('Grocery Purchases'!B223="","",'Grocery Purchases'!D223)</f>
        <v/>
      </c>
      <c r="E226" s="11" t="str">
        <f aca="false">IF('Grocery Purchases'!B223="","",'Grocery Purchases'!F223)</f>
        <v/>
      </c>
      <c r="F226" s="11" t="str">
        <f aca="false">IF('Grocery Purchases'!B223="","",'Grocery Purchases'!G223)</f>
        <v/>
      </c>
      <c r="G226" s="32" t="str">
        <f aca="false">IF('Grocery Purchases'!B223="","",'Grocery Purchases'!H223)</f>
        <v/>
      </c>
      <c r="H226" s="14" t="str">
        <f aca="false">IF('Grocery Purchases'!B223="","",'Grocery Purchases'!I223)</f>
        <v/>
      </c>
    </row>
    <row r="227" customFormat="false" ht="15" hidden="false" customHeight="true" outlineLevel="0" collapsed="false">
      <c r="A227" s="12" t="str">
        <f aca="false">IF('Grocery Purchases'!B224="","",'Grocery Purchases'!A224)</f>
        <v/>
      </c>
      <c r="B227" s="17" t="str">
        <f aca="false">IF('Grocery Purchases'!B224="","",'Grocery Purchases'!B224)</f>
        <v/>
      </c>
      <c r="C227" s="17" t="str">
        <f aca="false">IF('Grocery Purchases'!B224="","",'Grocery Purchases'!C224)</f>
        <v/>
      </c>
      <c r="D227" s="14" t="str">
        <f aca="false">IF('Grocery Purchases'!B224="","",'Grocery Purchases'!D224)</f>
        <v/>
      </c>
      <c r="E227" s="11" t="str">
        <f aca="false">IF('Grocery Purchases'!B224="","",'Grocery Purchases'!F224)</f>
        <v/>
      </c>
      <c r="F227" s="11" t="str">
        <f aca="false">IF('Grocery Purchases'!B224="","",'Grocery Purchases'!G224)</f>
        <v/>
      </c>
      <c r="G227" s="32" t="str">
        <f aca="false">IF('Grocery Purchases'!B224="","",'Grocery Purchases'!H224)</f>
        <v/>
      </c>
      <c r="H227" s="14" t="str">
        <f aca="false">IF('Grocery Purchases'!B224="","",'Grocery Purchases'!I224)</f>
        <v/>
      </c>
    </row>
    <row r="228" customFormat="false" ht="15" hidden="false" customHeight="true" outlineLevel="0" collapsed="false">
      <c r="A228" s="12" t="str">
        <f aca="false">IF('Grocery Purchases'!B225="","",'Grocery Purchases'!A225)</f>
        <v/>
      </c>
      <c r="B228" s="17" t="str">
        <f aca="false">IF('Grocery Purchases'!B225="","",'Grocery Purchases'!B225)</f>
        <v/>
      </c>
      <c r="C228" s="17" t="str">
        <f aca="false">IF('Grocery Purchases'!B225="","",'Grocery Purchases'!C225)</f>
        <v/>
      </c>
      <c r="D228" s="14" t="str">
        <f aca="false">IF('Grocery Purchases'!B225="","",'Grocery Purchases'!D225)</f>
        <v/>
      </c>
      <c r="E228" s="11" t="str">
        <f aca="false">IF('Grocery Purchases'!B225="","",'Grocery Purchases'!F225)</f>
        <v/>
      </c>
      <c r="F228" s="11" t="str">
        <f aca="false">IF('Grocery Purchases'!B225="","",'Grocery Purchases'!G225)</f>
        <v/>
      </c>
      <c r="G228" s="32" t="str">
        <f aca="false">IF('Grocery Purchases'!B225="","",'Grocery Purchases'!H225)</f>
        <v/>
      </c>
      <c r="H228" s="14" t="str">
        <f aca="false">IF('Grocery Purchases'!B225="","",'Grocery Purchases'!I225)</f>
        <v/>
      </c>
    </row>
    <row r="229" customFormat="false" ht="15" hidden="false" customHeight="true" outlineLevel="0" collapsed="false">
      <c r="A229" s="12" t="str">
        <f aca="false">IF('Grocery Purchases'!B226="","",'Grocery Purchases'!A226)</f>
        <v/>
      </c>
      <c r="B229" s="17" t="str">
        <f aca="false">IF('Grocery Purchases'!B226="","",'Grocery Purchases'!B226)</f>
        <v/>
      </c>
      <c r="C229" s="17" t="str">
        <f aca="false">IF('Grocery Purchases'!B226="","",'Grocery Purchases'!C226)</f>
        <v/>
      </c>
      <c r="D229" s="14" t="str">
        <f aca="false">IF('Grocery Purchases'!B226="","",'Grocery Purchases'!D226)</f>
        <v/>
      </c>
      <c r="E229" s="11" t="str">
        <f aca="false">IF('Grocery Purchases'!B226="","",'Grocery Purchases'!F226)</f>
        <v/>
      </c>
      <c r="F229" s="11" t="str">
        <f aca="false">IF('Grocery Purchases'!B226="","",'Grocery Purchases'!G226)</f>
        <v/>
      </c>
      <c r="G229" s="32" t="str">
        <f aca="false">IF('Grocery Purchases'!B226="","",'Grocery Purchases'!H226)</f>
        <v/>
      </c>
      <c r="H229" s="14" t="str">
        <f aca="false">IF('Grocery Purchases'!B226="","",'Grocery Purchases'!I226)</f>
        <v/>
      </c>
    </row>
    <row r="230" customFormat="false" ht="15" hidden="false" customHeight="true" outlineLevel="0" collapsed="false">
      <c r="A230" s="12" t="str">
        <f aca="false">IF('Grocery Purchases'!B227="","",'Grocery Purchases'!A227)</f>
        <v/>
      </c>
      <c r="B230" s="17" t="str">
        <f aca="false">IF('Grocery Purchases'!B227="","",'Grocery Purchases'!B227)</f>
        <v/>
      </c>
      <c r="C230" s="17" t="str">
        <f aca="false">IF('Grocery Purchases'!B227="","",'Grocery Purchases'!C227)</f>
        <v/>
      </c>
      <c r="D230" s="14" t="str">
        <f aca="false">IF('Grocery Purchases'!B227="","",'Grocery Purchases'!D227)</f>
        <v/>
      </c>
      <c r="E230" s="11" t="str">
        <f aca="false">IF('Grocery Purchases'!B227="","",'Grocery Purchases'!F227)</f>
        <v/>
      </c>
      <c r="F230" s="11" t="str">
        <f aca="false">IF('Grocery Purchases'!B227="","",'Grocery Purchases'!G227)</f>
        <v/>
      </c>
      <c r="G230" s="32" t="str">
        <f aca="false">IF('Grocery Purchases'!B227="","",'Grocery Purchases'!H227)</f>
        <v/>
      </c>
      <c r="H230" s="14" t="str">
        <f aca="false">IF('Grocery Purchases'!B227="","",'Grocery Purchases'!I227)</f>
        <v/>
      </c>
    </row>
    <row r="231" customFormat="false" ht="15" hidden="false" customHeight="true" outlineLevel="0" collapsed="false">
      <c r="A231" s="12" t="str">
        <f aca="false">IF('Grocery Purchases'!B228="","",'Grocery Purchases'!A228)</f>
        <v/>
      </c>
      <c r="B231" s="17" t="str">
        <f aca="false">IF('Grocery Purchases'!B228="","",'Grocery Purchases'!B228)</f>
        <v/>
      </c>
      <c r="C231" s="17" t="str">
        <f aca="false">IF('Grocery Purchases'!B228="","",'Grocery Purchases'!C228)</f>
        <v/>
      </c>
      <c r="D231" s="14" t="str">
        <f aca="false">IF('Grocery Purchases'!B228="","",'Grocery Purchases'!D228)</f>
        <v/>
      </c>
      <c r="E231" s="11" t="str">
        <f aca="false">IF('Grocery Purchases'!B228="","",'Grocery Purchases'!F228)</f>
        <v/>
      </c>
      <c r="F231" s="11" t="str">
        <f aca="false">IF('Grocery Purchases'!B228="","",'Grocery Purchases'!G228)</f>
        <v/>
      </c>
      <c r="G231" s="32" t="str">
        <f aca="false">IF('Grocery Purchases'!B228="","",'Grocery Purchases'!H228)</f>
        <v/>
      </c>
      <c r="H231" s="14" t="str">
        <f aca="false">IF('Grocery Purchases'!B228="","",'Grocery Purchases'!I228)</f>
        <v/>
      </c>
    </row>
    <row r="232" customFormat="false" ht="15" hidden="false" customHeight="true" outlineLevel="0" collapsed="false">
      <c r="A232" s="12" t="str">
        <f aca="false">IF('Grocery Purchases'!B229="","",'Grocery Purchases'!A229)</f>
        <v/>
      </c>
      <c r="B232" s="17" t="str">
        <f aca="false">IF('Grocery Purchases'!B229="","",'Grocery Purchases'!B229)</f>
        <v/>
      </c>
      <c r="C232" s="17" t="str">
        <f aca="false">IF('Grocery Purchases'!B229="","",'Grocery Purchases'!C229)</f>
        <v/>
      </c>
      <c r="D232" s="14" t="str">
        <f aca="false">IF('Grocery Purchases'!B229="","",'Grocery Purchases'!D229)</f>
        <v/>
      </c>
      <c r="E232" s="11" t="str">
        <f aca="false">IF('Grocery Purchases'!B229="","",'Grocery Purchases'!F229)</f>
        <v/>
      </c>
      <c r="F232" s="11" t="str">
        <f aca="false">IF('Grocery Purchases'!B229="","",'Grocery Purchases'!G229)</f>
        <v/>
      </c>
      <c r="G232" s="32" t="str">
        <f aca="false">IF('Grocery Purchases'!B229="","",'Grocery Purchases'!H229)</f>
        <v/>
      </c>
      <c r="H232" s="14" t="str">
        <f aca="false">IF('Grocery Purchases'!B229="","",'Grocery Purchases'!I229)</f>
        <v/>
      </c>
    </row>
    <row r="233" customFormat="false" ht="15" hidden="false" customHeight="true" outlineLevel="0" collapsed="false">
      <c r="A233" s="12" t="str">
        <f aca="false">IF('Grocery Purchases'!B230="","",'Grocery Purchases'!A230)</f>
        <v/>
      </c>
      <c r="B233" s="17" t="str">
        <f aca="false">IF('Grocery Purchases'!B230="","",'Grocery Purchases'!B230)</f>
        <v/>
      </c>
      <c r="C233" s="17" t="str">
        <f aca="false">IF('Grocery Purchases'!B230="","",'Grocery Purchases'!C230)</f>
        <v/>
      </c>
      <c r="D233" s="14" t="str">
        <f aca="false">IF('Grocery Purchases'!B230="","",'Grocery Purchases'!D230)</f>
        <v/>
      </c>
      <c r="E233" s="11" t="str">
        <f aca="false">IF('Grocery Purchases'!B230="","",'Grocery Purchases'!F230)</f>
        <v/>
      </c>
      <c r="F233" s="11" t="str">
        <f aca="false">IF('Grocery Purchases'!B230="","",'Grocery Purchases'!G230)</f>
        <v/>
      </c>
      <c r="G233" s="32" t="str">
        <f aca="false">IF('Grocery Purchases'!B230="","",'Grocery Purchases'!H230)</f>
        <v/>
      </c>
      <c r="H233" s="14" t="str">
        <f aca="false">IF('Grocery Purchases'!B230="","",'Grocery Purchases'!I230)</f>
        <v/>
      </c>
    </row>
    <row r="234" customFormat="false" ht="15" hidden="false" customHeight="true" outlineLevel="0" collapsed="false">
      <c r="A234" s="12" t="str">
        <f aca="false">IF('Grocery Purchases'!B231="","",'Grocery Purchases'!A231)</f>
        <v/>
      </c>
      <c r="B234" s="17" t="str">
        <f aca="false">IF('Grocery Purchases'!B231="","",'Grocery Purchases'!B231)</f>
        <v/>
      </c>
      <c r="C234" s="17" t="str">
        <f aca="false">IF('Grocery Purchases'!B231="","",'Grocery Purchases'!C231)</f>
        <v/>
      </c>
      <c r="D234" s="14" t="str">
        <f aca="false">IF('Grocery Purchases'!B231="","",'Grocery Purchases'!D231)</f>
        <v/>
      </c>
      <c r="E234" s="11" t="str">
        <f aca="false">IF('Grocery Purchases'!B231="","",'Grocery Purchases'!F231)</f>
        <v/>
      </c>
      <c r="F234" s="11" t="str">
        <f aca="false">IF('Grocery Purchases'!B231="","",'Grocery Purchases'!G231)</f>
        <v/>
      </c>
      <c r="G234" s="32" t="str">
        <f aca="false">IF('Grocery Purchases'!B231="","",'Grocery Purchases'!H231)</f>
        <v/>
      </c>
      <c r="H234" s="14" t="str">
        <f aca="false">IF('Grocery Purchases'!B231="","",'Grocery Purchases'!I231)</f>
        <v/>
      </c>
    </row>
    <row r="235" customFormat="false" ht="15" hidden="false" customHeight="true" outlineLevel="0" collapsed="false">
      <c r="A235" s="12" t="str">
        <f aca="false">IF('Grocery Purchases'!B232="","",'Grocery Purchases'!A232)</f>
        <v/>
      </c>
      <c r="B235" s="17" t="str">
        <f aca="false">IF('Grocery Purchases'!B232="","",'Grocery Purchases'!B232)</f>
        <v/>
      </c>
      <c r="C235" s="17" t="str">
        <f aca="false">IF('Grocery Purchases'!B232="","",'Grocery Purchases'!C232)</f>
        <v/>
      </c>
      <c r="D235" s="14" t="str">
        <f aca="false">IF('Grocery Purchases'!B232="","",'Grocery Purchases'!D232)</f>
        <v/>
      </c>
      <c r="E235" s="11" t="str">
        <f aca="false">IF('Grocery Purchases'!B232="","",'Grocery Purchases'!F232)</f>
        <v/>
      </c>
      <c r="F235" s="11" t="str">
        <f aca="false">IF('Grocery Purchases'!B232="","",'Grocery Purchases'!G232)</f>
        <v/>
      </c>
      <c r="G235" s="32" t="str">
        <f aca="false">IF('Grocery Purchases'!B232="","",'Grocery Purchases'!H232)</f>
        <v/>
      </c>
      <c r="H235" s="14" t="str">
        <f aca="false">IF('Grocery Purchases'!B232="","",'Grocery Purchases'!I232)</f>
        <v/>
      </c>
    </row>
    <row r="236" customFormat="false" ht="15" hidden="false" customHeight="true" outlineLevel="0" collapsed="false">
      <c r="A236" s="12" t="str">
        <f aca="false">IF('Grocery Purchases'!B233="","",'Grocery Purchases'!A233)</f>
        <v/>
      </c>
      <c r="B236" s="17" t="str">
        <f aca="false">IF('Grocery Purchases'!B233="","",'Grocery Purchases'!B233)</f>
        <v/>
      </c>
      <c r="C236" s="17" t="str">
        <f aca="false">IF('Grocery Purchases'!B233="","",'Grocery Purchases'!C233)</f>
        <v/>
      </c>
      <c r="D236" s="14" t="str">
        <f aca="false">IF('Grocery Purchases'!B233="","",'Grocery Purchases'!D233)</f>
        <v/>
      </c>
      <c r="E236" s="11" t="str">
        <f aca="false">IF('Grocery Purchases'!B233="","",'Grocery Purchases'!F233)</f>
        <v/>
      </c>
      <c r="F236" s="11" t="str">
        <f aca="false">IF('Grocery Purchases'!B233="","",'Grocery Purchases'!G233)</f>
        <v/>
      </c>
      <c r="G236" s="32" t="str">
        <f aca="false">IF('Grocery Purchases'!B233="","",'Grocery Purchases'!H233)</f>
        <v/>
      </c>
      <c r="H236" s="14" t="str">
        <f aca="false">IF('Grocery Purchases'!B233="","",'Grocery Purchases'!I233)</f>
        <v/>
      </c>
    </row>
    <row r="237" customFormat="false" ht="15" hidden="false" customHeight="true" outlineLevel="0" collapsed="false">
      <c r="A237" s="12" t="str">
        <f aca="false">IF('Grocery Purchases'!B234="","",'Grocery Purchases'!A234)</f>
        <v/>
      </c>
      <c r="B237" s="17" t="str">
        <f aca="false">IF('Grocery Purchases'!B234="","",'Grocery Purchases'!B234)</f>
        <v/>
      </c>
      <c r="C237" s="17" t="str">
        <f aca="false">IF('Grocery Purchases'!B234="","",'Grocery Purchases'!C234)</f>
        <v/>
      </c>
      <c r="D237" s="14" t="str">
        <f aca="false">IF('Grocery Purchases'!B234="","",'Grocery Purchases'!D234)</f>
        <v/>
      </c>
      <c r="E237" s="11" t="str">
        <f aca="false">IF('Grocery Purchases'!B234="","",'Grocery Purchases'!F234)</f>
        <v/>
      </c>
      <c r="F237" s="11" t="str">
        <f aca="false">IF('Grocery Purchases'!B234="","",'Grocery Purchases'!G234)</f>
        <v/>
      </c>
      <c r="G237" s="32" t="str">
        <f aca="false">IF('Grocery Purchases'!B234="","",'Grocery Purchases'!H234)</f>
        <v/>
      </c>
      <c r="H237" s="14" t="str">
        <f aca="false">IF('Grocery Purchases'!B234="","",'Grocery Purchases'!I234)</f>
        <v/>
      </c>
    </row>
    <row r="238" customFormat="false" ht="15" hidden="false" customHeight="true" outlineLevel="0" collapsed="false">
      <c r="A238" s="12" t="str">
        <f aca="false">IF('Grocery Purchases'!B235="","",'Grocery Purchases'!A235)</f>
        <v/>
      </c>
      <c r="B238" s="17" t="str">
        <f aca="false">IF('Grocery Purchases'!B235="","",'Grocery Purchases'!B235)</f>
        <v/>
      </c>
      <c r="C238" s="17" t="str">
        <f aca="false">IF('Grocery Purchases'!B235="","",'Grocery Purchases'!C235)</f>
        <v/>
      </c>
      <c r="D238" s="14" t="str">
        <f aca="false">IF('Grocery Purchases'!B235="","",'Grocery Purchases'!D235)</f>
        <v/>
      </c>
      <c r="E238" s="11" t="str">
        <f aca="false">IF('Grocery Purchases'!B235="","",'Grocery Purchases'!F235)</f>
        <v/>
      </c>
      <c r="F238" s="11" t="str">
        <f aca="false">IF('Grocery Purchases'!B235="","",'Grocery Purchases'!G235)</f>
        <v/>
      </c>
      <c r="G238" s="32" t="str">
        <f aca="false">IF('Grocery Purchases'!B235="","",'Grocery Purchases'!H235)</f>
        <v/>
      </c>
      <c r="H238" s="14" t="str">
        <f aca="false">IF('Grocery Purchases'!B235="","",'Grocery Purchases'!I235)</f>
        <v/>
      </c>
    </row>
    <row r="239" customFormat="false" ht="15" hidden="false" customHeight="true" outlineLevel="0" collapsed="false">
      <c r="A239" s="12" t="str">
        <f aca="false">IF('Grocery Purchases'!B236="","",'Grocery Purchases'!A236)</f>
        <v/>
      </c>
      <c r="B239" s="17" t="str">
        <f aca="false">IF('Grocery Purchases'!B236="","",'Grocery Purchases'!B236)</f>
        <v/>
      </c>
      <c r="C239" s="17" t="str">
        <f aca="false">IF('Grocery Purchases'!B236="","",'Grocery Purchases'!C236)</f>
        <v/>
      </c>
      <c r="D239" s="14" t="str">
        <f aca="false">IF('Grocery Purchases'!B236="","",'Grocery Purchases'!D236)</f>
        <v/>
      </c>
      <c r="E239" s="11" t="str">
        <f aca="false">IF('Grocery Purchases'!B236="","",'Grocery Purchases'!F236)</f>
        <v/>
      </c>
      <c r="F239" s="11" t="str">
        <f aca="false">IF('Grocery Purchases'!B236="","",'Grocery Purchases'!G236)</f>
        <v/>
      </c>
      <c r="G239" s="32" t="str">
        <f aca="false">IF('Grocery Purchases'!B236="","",'Grocery Purchases'!H236)</f>
        <v/>
      </c>
      <c r="H239" s="14" t="str">
        <f aca="false">IF('Grocery Purchases'!B236="","",'Grocery Purchases'!I236)</f>
        <v/>
      </c>
    </row>
    <row r="240" customFormat="false" ht="15" hidden="false" customHeight="true" outlineLevel="0" collapsed="false">
      <c r="A240" s="12" t="str">
        <f aca="false">IF('Grocery Purchases'!B237="","",'Grocery Purchases'!A237)</f>
        <v/>
      </c>
      <c r="B240" s="17" t="str">
        <f aca="false">IF('Grocery Purchases'!B237="","",'Grocery Purchases'!B237)</f>
        <v/>
      </c>
      <c r="C240" s="17" t="str">
        <f aca="false">IF('Grocery Purchases'!B237="","",'Grocery Purchases'!C237)</f>
        <v/>
      </c>
      <c r="D240" s="14" t="str">
        <f aca="false">IF('Grocery Purchases'!B237="","",'Grocery Purchases'!D237)</f>
        <v/>
      </c>
      <c r="E240" s="11" t="str">
        <f aca="false">IF('Grocery Purchases'!B237="","",'Grocery Purchases'!F237)</f>
        <v/>
      </c>
      <c r="F240" s="11" t="str">
        <f aca="false">IF('Grocery Purchases'!B237="","",'Grocery Purchases'!G237)</f>
        <v/>
      </c>
      <c r="G240" s="32" t="str">
        <f aca="false">IF('Grocery Purchases'!B237="","",'Grocery Purchases'!H237)</f>
        <v/>
      </c>
      <c r="H240" s="14" t="str">
        <f aca="false">IF('Grocery Purchases'!B237="","",'Grocery Purchases'!I237)</f>
        <v/>
      </c>
    </row>
    <row r="241" customFormat="false" ht="15" hidden="false" customHeight="true" outlineLevel="0" collapsed="false">
      <c r="A241" s="12" t="str">
        <f aca="false">IF('Grocery Purchases'!B238="","",'Grocery Purchases'!A238)</f>
        <v/>
      </c>
      <c r="B241" s="17" t="str">
        <f aca="false">IF('Grocery Purchases'!B238="","",'Grocery Purchases'!B238)</f>
        <v/>
      </c>
      <c r="C241" s="17" t="str">
        <f aca="false">IF('Grocery Purchases'!B238="","",'Grocery Purchases'!C238)</f>
        <v/>
      </c>
      <c r="D241" s="14" t="str">
        <f aca="false">IF('Grocery Purchases'!B238="","",'Grocery Purchases'!D238)</f>
        <v/>
      </c>
      <c r="E241" s="11" t="str">
        <f aca="false">IF('Grocery Purchases'!B238="","",'Grocery Purchases'!F238)</f>
        <v/>
      </c>
      <c r="F241" s="11" t="str">
        <f aca="false">IF('Grocery Purchases'!B238="","",'Grocery Purchases'!G238)</f>
        <v/>
      </c>
      <c r="G241" s="32" t="str">
        <f aca="false">IF('Grocery Purchases'!B238="","",'Grocery Purchases'!H238)</f>
        <v/>
      </c>
      <c r="H241" s="14" t="str">
        <f aca="false">IF('Grocery Purchases'!B238="","",'Grocery Purchases'!I238)</f>
        <v/>
      </c>
    </row>
    <row r="242" customFormat="false" ht="15" hidden="false" customHeight="true" outlineLevel="0" collapsed="false">
      <c r="A242" s="12" t="str">
        <f aca="false">IF('Grocery Purchases'!B239="","",'Grocery Purchases'!A239)</f>
        <v/>
      </c>
      <c r="B242" s="17" t="str">
        <f aca="false">IF('Grocery Purchases'!B239="","",'Grocery Purchases'!B239)</f>
        <v/>
      </c>
      <c r="C242" s="17" t="str">
        <f aca="false">IF('Grocery Purchases'!B239="","",'Grocery Purchases'!C239)</f>
        <v/>
      </c>
      <c r="D242" s="14" t="str">
        <f aca="false">IF('Grocery Purchases'!B239="","",'Grocery Purchases'!D239)</f>
        <v/>
      </c>
      <c r="E242" s="11" t="str">
        <f aca="false">IF('Grocery Purchases'!B239="","",'Grocery Purchases'!F239)</f>
        <v/>
      </c>
      <c r="F242" s="11" t="str">
        <f aca="false">IF('Grocery Purchases'!B239="","",'Grocery Purchases'!G239)</f>
        <v/>
      </c>
      <c r="G242" s="32" t="str">
        <f aca="false">IF('Grocery Purchases'!B239="","",'Grocery Purchases'!H239)</f>
        <v/>
      </c>
      <c r="H242" s="14" t="str">
        <f aca="false">IF('Grocery Purchases'!B239="","",'Grocery Purchases'!I239)</f>
        <v/>
      </c>
    </row>
    <row r="243" customFormat="false" ht="15" hidden="false" customHeight="true" outlineLevel="0" collapsed="false">
      <c r="A243" s="12" t="str">
        <f aca="false">IF('Grocery Purchases'!B240="","",'Grocery Purchases'!A240)</f>
        <v/>
      </c>
      <c r="B243" s="17" t="str">
        <f aca="false">IF('Grocery Purchases'!B240="","",'Grocery Purchases'!B240)</f>
        <v/>
      </c>
      <c r="C243" s="17" t="str">
        <f aca="false">IF('Grocery Purchases'!B240="","",'Grocery Purchases'!C240)</f>
        <v/>
      </c>
      <c r="D243" s="14" t="str">
        <f aca="false">IF('Grocery Purchases'!B240="","",'Grocery Purchases'!D240)</f>
        <v/>
      </c>
      <c r="E243" s="11" t="str">
        <f aca="false">IF('Grocery Purchases'!B240="","",'Grocery Purchases'!F240)</f>
        <v/>
      </c>
      <c r="F243" s="11" t="str">
        <f aca="false">IF('Grocery Purchases'!B240="","",'Grocery Purchases'!G240)</f>
        <v/>
      </c>
      <c r="G243" s="32" t="str">
        <f aca="false">IF('Grocery Purchases'!B240="","",'Grocery Purchases'!H240)</f>
        <v/>
      </c>
      <c r="H243" s="14" t="str">
        <f aca="false">IF('Grocery Purchases'!B240="","",'Grocery Purchases'!I240)</f>
        <v/>
      </c>
    </row>
    <row r="244" customFormat="false" ht="15" hidden="false" customHeight="true" outlineLevel="0" collapsed="false">
      <c r="A244" s="12" t="str">
        <f aca="false">IF('Grocery Purchases'!B241="","",'Grocery Purchases'!A241)</f>
        <v/>
      </c>
      <c r="B244" s="17" t="str">
        <f aca="false">IF('Grocery Purchases'!B241="","",'Grocery Purchases'!B241)</f>
        <v/>
      </c>
      <c r="C244" s="17" t="str">
        <f aca="false">IF('Grocery Purchases'!B241="","",'Grocery Purchases'!C241)</f>
        <v/>
      </c>
      <c r="D244" s="14" t="str">
        <f aca="false">IF('Grocery Purchases'!B241="","",'Grocery Purchases'!D241)</f>
        <v/>
      </c>
      <c r="E244" s="11" t="str">
        <f aca="false">IF('Grocery Purchases'!B241="","",'Grocery Purchases'!F241)</f>
        <v/>
      </c>
      <c r="F244" s="11" t="str">
        <f aca="false">IF('Grocery Purchases'!B241="","",'Grocery Purchases'!G241)</f>
        <v/>
      </c>
      <c r="G244" s="32" t="str">
        <f aca="false">IF('Grocery Purchases'!B241="","",'Grocery Purchases'!H241)</f>
        <v/>
      </c>
      <c r="H244" s="14" t="str">
        <f aca="false">IF('Grocery Purchases'!B241="","",'Grocery Purchases'!I241)</f>
        <v/>
      </c>
    </row>
    <row r="245" customFormat="false" ht="15" hidden="false" customHeight="true" outlineLevel="0" collapsed="false">
      <c r="A245" s="12" t="str">
        <f aca="false">IF('Grocery Purchases'!B242="","",'Grocery Purchases'!A242)</f>
        <v/>
      </c>
      <c r="B245" s="17" t="str">
        <f aca="false">IF('Grocery Purchases'!B242="","",'Grocery Purchases'!B242)</f>
        <v/>
      </c>
      <c r="C245" s="17" t="str">
        <f aca="false">IF('Grocery Purchases'!B242="","",'Grocery Purchases'!C242)</f>
        <v/>
      </c>
      <c r="D245" s="14" t="str">
        <f aca="false">IF('Grocery Purchases'!B242="","",'Grocery Purchases'!D242)</f>
        <v/>
      </c>
      <c r="E245" s="11" t="str">
        <f aca="false">IF('Grocery Purchases'!B242="","",'Grocery Purchases'!F242)</f>
        <v/>
      </c>
      <c r="F245" s="11" t="str">
        <f aca="false">IF('Grocery Purchases'!B242="","",'Grocery Purchases'!G242)</f>
        <v/>
      </c>
      <c r="G245" s="32" t="str">
        <f aca="false">IF('Grocery Purchases'!B242="","",'Grocery Purchases'!H242)</f>
        <v/>
      </c>
      <c r="H245" s="14" t="str">
        <f aca="false">IF('Grocery Purchases'!B242="","",'Grocery Purchases'!I242)</f>
        <v/>
      </c>
    </row>
    <row r="246" customFormat="false" ht="15" hidden="false" customHeight="true" outlineLevel="0" collapsed="false">
      <c r="A246" s="12" t="str">
        <f aca="false">IF('Grocery Purchases'!B243="","",'Grocery Purchases'!A243)</f>
        <v/>
      </c>
      <c r="B246" s="17" t="str">
        <f aca="false">IF('Grocery Purchases'!B243="","",'Grocery Purchases'!B243)</f>
        <v/>
      </c>
      <c r="C246" s="17" t="str">
        <f aca="false">IF('Grocery Purchases'!B243="","",'Grocery Purchases'!C243)</f>
        <v/>
      </c>
      <c r="D246" s="14" t="str">
        <f aca="false">IF('Grocery Purchases'!B243="","",'Grocery Purchases'!D243)</f>
        <v/>
      </c>
      <c r="E246" s="11" t="str">
        <f aca="false">IF('Grocery Purchases'!B243="","",'Grocery Purchases'!F243)</f>
        <v/>
      </c>
      <c r="F246" s="11" t="str">
        <f aca="false">IF('Grocery Purchases'!B243="","",'Grocery Purchases'!G243)</f>
        <v/>
      </c>
      <c r="G246" s="32" t="str">
        <f aca="false">IF('Grocery Purchases'!B243="","",'Grocery Purchases'!H243)</f>
        <v/>
      </c>
      <c r="H246" s="14" t="str">
        <f aca="false">IF('Grocery Purchases'!B243="","",'Grocery Purchases'!I243)</f>
        <v/>
      </c>
    </row>
    <row r="247" customFormat="false" ht="15" hidden="false" customHeight="true" outlineLevel="0" collapsed="false">
      <c r="A247" s="12" t="str">
        <f aca="false">IF('Grocery Purchases'!B244="","",'Grocery Purchases'!A244)</f>
        <v/>
      </c>
      <c r="B247" s="17" t="str">
        <f aca="false">IF('Grocery Purchases'!B244="","",'Grocery Purchases'!B244)</f>
        <v/>
      </c>
      <c r="C247" s="17" t="str">
        <f aca="false">IF('Grocery Purchases'!B244="","",'Grocery Purchases'!C244)</f>
        <v/>
      </c>
      <c r="D247" s="14" t="str">
        <f aca="false">IF('Grocery Purchases'!B244="","",'Grocery Purchases'!D244)</f>
        <v/>
      </c>
      <c r="E247" s="11" t="str">
        <f aca="false">IF('Grocery Purchases'!B244="","",'Grocery Purchases'!F244)</f>
        <v/>
      </c>
      <c r="F247" s="11" t="str">
        <f aca="false">IF('Grocery Purchases'!B244="","",'Grocery Purchases'!G244)</f>
        <v/>
      </c>
      <c r="G247" s="32" t="str">
        <f aca="false">IF('Grocery Purchases'!B244="","",'Grocery Purchases'!H244)</f>
        <v/>
      </c>
      <c r="H247" s="14" t="str">
        <f aca="false">IF('Grocery Purchases'!B244="","",'Grocery Purchases'!I244)</f>
        <v/>
      </c>
    </row>
    <row r="248" customFormat="false" ht="15" hidden="false" customHeight="true" outlineLevel="0" collapsed="false">
      <c r="A248" s="12" t="str">
        <f aca="false">IF('Grocery Purchases'!B245="","",'Grocery Purchases'!A245)</f>
        <v/>
      </c>
      <c r="B248" s="17" t="str">
        <f aca="false">IF('Grocery Purchases'!B245="","",'Grocery Purchases'!B245)</f>
        <v/>
      </c>
      <c r="C248" s="17" t="str">
        <f aca="false">IF('Grocery Purchases'!B245="","",'Grocery Purchases'!C245)</f>
        <v/>
      </c>
      <c r="D248" s="14" t="str">
        <f aca="false">IF('Grocery Purchases'!B245="","",'Grocery Purchases'!D245)</f>
        <v/>
      </c>
      <c r="E248" s="11" t="str">
        <f aca="false">IF('Grocery Purchases'!B245="","",'Grocery Purchases'!F245)</f>
        <v/>
      </c>
      <c r="F248" s="11" t="str">
        <f aca="false">IF('Grocery Purchases'!B245="","",'Grocery Purchases'!G245)</f>
        <v/>
      </c>
      <c r="G248" s="32" t="str">
        <f aca="false">IF('Grocery Purchases'!B245="","",'Grocery Purchases'!H245)</f>
        <v/>
      </c>
      <c r="H248" s="14" t="str">
        <f aca="false">IF('Grocery Purchases'!B245="","",'Grocery Purchases'!I245)</f>
        <v/>
      </c>
    </row>
    <row r="249" customFormat="false" ht="15" hidden="false" customHeight="true" outlineLevel="0" collapsed="false">
      <c r="A249" s="12" t="str">
        <f aca="false">IF('Grocery Purchases'!B246="","",'Grocery Purchases'!A246)</f>
        <v/>
      </c>
      <c r="B249" s="17" t="str">
        <f aca="false">IF('Grocery Purchases'!B246="","",'Grocery Purchases'!B246)</f>
        <v/>
      </c>
      <c r="C249" s="17" t="str">
        <f aca="false">IF('Grocery Purchases'!B246="","",'Grocery Purchases'!C246)</f>
        <v/>
      </c>
      <c r="D249" s="14" t="str">
        <f aca="false">IF('Grocery Purchases'!B246="","",'Grocery Purchases'!D246)</f>
        <v/>
      </c>
      <c r="E249" s="11" t="str">
        <f aca="false">IF('Grocery Purchases'!B246="","",'Grocery Purchases'!F246)</f>
        <v/>
      </c>
      <c r="F249" s="11" t="str">
        <f aca="false">IF('Grocery Purchases'!B246="","",'Grocery Purchases'!G246)</f>
        <v/>
      </c>
      <c r="G249" s="32" t="str">
        <f aca="false">IF('Grocery Purchases'!B246="","",'Grocery Purchases'!H246)</f>
        <v/>
      </c>
      <c r="H249" s="14" t="str">
        <f aca="false">IF('Grocery Purchases'!B246="","",'Grocery Purchases'!I246)</f>
        <v/>
      </c>
    </row>
    <row r="250" customFormat="false" ht="15" hidden="false" customHeight="true" outlineLevel="0" collapsed="false">
      <c r="A250" s="12" t="str">
        <f aca="false">IF('Grocery Purchases'!B247="","",'Grocery Purchases'!A247)</f>
        <v/>
      </c>
      <c r="B250" s="17" t="str">
        <f aca="false">IF('Grocery Purchases'!B247="","",'Grocery Purchases'!B247)</f>
        <v/>
      </c>
      <c r="C250" s="17" t="str">
        <f aca="false">IF('Grocery Purchases'!B247="","",'Grocery Purchases'!C247)</f>
        <v/>
      </c>
      <c r="D250" s="14" t="str">
        <f aca="false">IF('Grocery Purchases'!B247="","",'Grocery Purchases'!D247)</f>
        <v/>
      </c>
      <c r="E250" s="11" t="str">
        <f aca="false">IF('Grocery Purchases'!B247="","",'Grocery Purchases'!F247)</f>
        <v/>
      </c>
      <c r="F250" s="11" t="str">
        <f aca="false">IF('Grocery Purchases'!B247="","",'Grocery Purchases'!G247)</f>
        <v/>
      </c>
      <c r="G250" s="32" t="str">
        <f aca="false">IF('Grocery Purchases'!B247="","",'Grocery Purchases'!H247)</f>
        <v/>
      </c>
      <c r="H250" s="14" t="str">
        <f aca="false">IF('Grocery Purchases'!B247="","",'Grocery Purchases'!I247)</f>
        <v/>
      </c>
    </row>
    <row r="251" customFormat="false" ht="15" hidden="false" customHeight="true" outlineLevel="0" collapsed="false">
      <c r="A251" s="12" t="str">
        <f aca="false">IF('Grocery Purchases'!B248="","",'Grocery Purchases'!A248)</f>
        <v/>
      </c>
      <c r="B251" s="17" t="str">
        <f aca="false">IF('Grocery Purchases'!B248="","",'Grocery Purchases'!B248)</f>
        <v/>
      </c>
      <c r="C251" s="17" t="str">
        <f aca="false">IF('Grocery Purchases'!B248="","",'Grocery Purchases'!C248)</f>
        <v/>
      </c>
      <c r="D251" s="14" t="str">
        <f aca="false">IF('Grocery Purchases'!B248="","",'Grocery Purchases'!D248)</f>
        <v/>
      </c>
      <c r="E251" s="11" t="str">
        <f aca="false">IF('Grocery Purchases'!B248="","",'Grocery Purchases'!F248)</f>
        <v/>
      </c>
      <c r="F251" s="11" t="str">
        <f aca="false">IF('Grocery Purchases'!B248="","",'Grocery Purchases'!G248)</f>
        <v/>
      </c>
      <c r="G251" s="32" t="str">
        <f aca="false">IF('Grocery Purchases'!B248="","",'Grocery Purchases'!H248)</f>
        <v/>
      </c>
      <c r="H251" s="14" t="str">
        <f aca="false">IF('Grocery Purchases'!B248="","",'Grocery Purchases'!I248)</f>
        <v/>
      </c>
    </row>
    <row r="252" customFormat="false" ht="15" hidden="false" customHeight="true" outlineLevel="0" collapsed="false">
      <c r="A252" s="12" t="str">
        <f aca="false">IF('Grocery Purchases'!B249="","",'Grocery Purchases'!A249)</f>
        <v/>
      </c>
      <c r="B252" s="17" t="str">
        <f aca="false">IF('Grocery Purchases'!B249="","",'Grocery Purchases'!B249)</f>
        <v/>
      </c>
      <c r="C252" s="17" t="str">
        <f aca="false">IF('Grocery Purchases'!B249="","",'Grocery Purchases'!C249)</f>
        <v/>
      </c>
      <c r="D252" s="14" t="str">
        <f aca="false">IF('Grocery Purchases'!B249="","",'Grocery Purchases'!D249)</f>
        <v/>
      </c>
      <c r="E252" s="11" t="str">
        <f aca="false">IF('Grocery Purchases'!B249="","",'Grocery Purchases'!F249)</f>
        <v/>
      </c>
      <c r="F252" s="11" t="str">
        <f aca="false">IF('Grocery Purchases'!B249="","",'Grocery Purchases'!G249)</f>
        <v/>
      </c>
      <c r="G252" s="32" t="str">
        <f aca="false">IF('Grocery Purchases'!B249="","",'Grocery Purchases'!H249)</f>
        <v/>
      </c>
      <c r="H252" s="14" t="str">
        <f aca="false">IF('Grocery Purchases'!B249="","",'Grocery Purchases'!I249)</f>
        <v/>
      </c>
    </row>
    <row r="253" customFormat="false" ht="15" hidden="false" customHeight="true" outlineLevel="0" collapsed="false">
      <c r="A253" s="12" t="str">
        <f aca="false">IF('Grocery Purchases'!B250="","",'Grocery Purchases'!A250)</f>
        <v/>
      </c>
      <c r="B253" s="17" t="str">
        <f aca="false">IF('Grocery Purchases'!B250="","",'Grocery Purchases'!B250)</f>
        <v/>
      </c>
      <c r="C253" s="17" t="str">
        <f aca="false">IF('Grocery Purchases'!B250="","",'Grocery Purchases'!C250)</f>
        <v/>
      </c>
      <c r="D253" s="14" t="str">
        <f aca="false">IF('Grocery Purchases'!B250="","",'Grocery Purchases'!D250)</f>
        <v/>
      </c>
      <c r="E253" s="11" t="str">
        <f aca="false">IF('Grocery Purchases'!B250="","",'Grocery Purchases'!F250)</f>
        <v/>
      </c>
      <c r="F253" s="11" t="str">
        <f aca="false">IF('Grocery Purchases'!B250="","",'Grocery Purchases'!G250)</f>
        <v/>
      </c>
      <c r="G253" s="32" t="str">
        <f aca="false">IF('Grocery Purchases'!B250="","",'Grocery Purchases'!H250)</f>
        <v/>
      </c>
      <c r="H253" s="14" t="str">
        <f aca="false">IF('Grocery Purchases'!B250="","",'Grocery Purchases'!I250)</f>
        <v/>
      </c>
    </row>
    <row r="254" customFormat="false" ht="15" hidden="false" customHeight="true" outlineLevel="0" collapsed="false">
      <c r="A254" s="12" t="str">
        <f aca="false">IF('Grocery Purchases'!B251="","",'Grocery Purchases'!A251)</f>
        <v/>
      </c>
      <c r="B254" s="17" t="str">
        <f aca="false">IF('Grocery Purchases'!B251="","",'Grocery Purchases'!B251)</f>
        <v/>
      </c>
      <c r="C254" s="17" t="str">
        <f aca="false">IF('Grocery Purchases'!B251="","",'Grocery Purchases'!C251)</f>
        <v/>
      </c>
      <c r="D254" s="14" t="str">
        <f aca="false">IF('Grocery Purchases'!B251="","",'Grocery Purchases'!D251)</f>
        <v/>
      </c>
      <c r="E254" s="11" t="str">
        <f aca="false">IF('Grocery Purchases'!B251="","",'Grocery Purchases'!F251)</f>
        <v/>
      </c>
      <c r="F254" s="11" t="str">
        <f aca="false">IF('Grocery Purchases'!B251="","",'Grocery Purchases'!G251)</f>
        <v/>
      </c>
      <c r="G254" s="32" t="str">
        <f aca="false">IF('Grocery Purchases'!B251="","",'Grocery Purchases'!H251)</f>
        <v/>
      </c>
      <c r="H254" s="14" t="str">
        <f aca="false">IF('Grocery Purchases'!B251="","",'Grocery Purchases'!I251)</f>
        <v/>
      </c>
    </row>
    <row r="255" customFormat="false" ht="15" hidden="false" customHeight="true" outlineLevel="0" collapsed="false">
      <c r="A255" s="12" t="str">
        <f aca="false">IF('Grocery Purchases'!B252="","",'Grocery Purchases'!A252)</f>
        <v/>
      </c>
      <c r="B255" s="17" t="str">
        <f aca="false">IF('Grocery Purchases'!B252="","",'Grocery Purchases'!B252)</f>
        <v/>
      </c>
      <c r="C255" s="17" t="str">
        <f aca="false">IF('Grocery Purchases'!B252="","",'Grocery Purchases'!C252)</f>
        <v/>
      </c>
      <c r="D255" s="14" t="str">
        <f aca="false">IF('Grocery Purchases'!B252="","",'Grocery Purchases'!D252)</f>
        <v/>
      </c>
      <c r="E255" s="11" t="str">
        <f aca="false">IF('Grocery Purchases'!B252="","",'Grocery Purchases'!F252)</f>
        <v/>
      </c>
      <c r="F255" s="11" t="str">
        <f aca="false">IF('Grocery Purchases'!B252="","",'Grocery Purchases'!G252)</f>
        <v/>
      </c>
      <c r="G255" s="32" t="str">
        <f aca="false">IF('Grocery Purchases'!B252="","",'Grocery Purchases'!H252)</f>
        <v/>
      </c>
      <c r="H255" s="14" t="str">
        <f aca="false">IF('Grocery Purchases'!B252="","",'Grocery Purchases'!I252)</f>
        <v/>
      </c>
    </row>
    <row r="256" customFormat="false" ht="15" hidden="false" customHeight="true" outlineLevel="0" collapsed="false">
      <c r="A256" s="12" t="str">
        <f aca="false">IF('Grocery Purchases'!B253="","",'Grocery Purchases'!A253)</f>
        <v/>
      </c>
      <c r="B256" s="17" t="str">
        <f aca="false">IF('Grocery Purchases'!B253="","",'Grocery Purchases'!B253)</f>
        <v/>
      </c>
      <c r="C256" s="17" t="str">
        <f aca="false">IF('Grocery Purchases'!B253="","",'Grocery Purchases'!C253)</f>
        <v/>
      </c>
      <c r="D256" s="14" t="str">
        <f aca="false">IF('Grocery Purchases'!B253="","",'Grocery Purchases'!D253)</f>
        <v/>
      </c>
      <c r="E256" s="11" t="str">
        <f aca="false">IF('Grocery Purchases'!B253="","",'Grocery Purchases'!F253)</f>
        <v/>
      </c>
      <c r="F256" s="11" t="str">
        <f aca="false">IF('Grocery Purchases'!B253="","",'Grocery Purchases'!G253)</f>
        <v/>
      </c>
      <c r="G256" s="32" t="str">
        <f aca="false">IF('Grocery Purchases'!B253="","",'Grocery Purchases'!H253)</f>
        <v/>
      </c>
      <c r="H256" s="14" t="str">
        <f aca="false">IF('Grocery Purchases'!B253="","",'Grocery Purchases'!I253)</f>
        <v/>
      </c>
    </row>
    <row r="257" customFormat="false" ht="15" hidden="false" customHeight="true" outlineLevel="0" collapsed="false">
      <c r="A257" s="12" t="str">
        <f aca="false">IF('Grocery Purchases'!B254="","",'Grocery Purchases'!A254)</f>
        <v/>
      </c>
      <c r="B257" s="17" t="str">
        <f aca="false">IF('Grocery Purchases'!B254="","",'Grocery Purchases'!B254)</f>
        <v/>
      </c>
      <c r="C257" s="17" t="str">
        <f aca="false">IF('Grocery Purchases'!B254="","",'Grocery Purchases'!C254)</f>
        <v/>
      </c>
      <c r="D257" s="14" t="str">
        <f aca="false">IF('Grocery Purchases'!B254="","",'Grocery Purchases'!D254)</f>
        <v/>
      </c>
      <c r="E257" s="11" t="str">
        <f aca="false">IF('Grocery Purchases'!B254="","",'Grocery Purchases'!F254)</f>
        <v/>
      </c>
      <c r="F257" s="11" t="str">
        <f aca="false">IF('Grocery Purchases'!B254="","",'Grocery Purchases'!G254)</f>
        <v/>
      </c>
      <c r="G257" s="32" t="str">
        <f aca="false">IF('Grocery Purchases'!B254="","",'Grocery Purchases'!H254)</f>
        <v/>
      </c>
      <c r="H257" s="14" t="str">
        <f aca="false">IF('Grocery Purchases'!B254="","",'Grocery Purchases'!I254)</f>
        <v/>
      </c>
    </row>
    <row r="258" customFormat="false" ht="15" hidden="false" customHeight="true" outlineLevel="0" collapsed="false">
      <c r="A258" s="12" t="str">
        <f aca="false">IF('Grocery Purchases'!B255="","",'Grocery Purchases'!A255)</f>
        <v/>
      </c>
      <c r="B258" s="17" t="str">
        <f aca="false">IF('Grocery Purchases'!B255="","",'Grocery Purchases'!B255)</f>
        <v/>
      </c>
      <c r="C258" s="17" t="str">
        <f aca="false">IF('Grocery Purchases'!B255="","",'Grocery Purchases'!C255)</f>
        <v/>
      </c>
      <c r="D258" s="14" t="str">
        <f aca="false">IF('Grocery Purchases'!B255="","",'Grocery Purchases'!D255)</f>
        <v/>
      </c>
      <c r="E258" s="11" t="str">
        <f aca="false">IF('Grocery Purchases'!B255="","",'Grocery Purchases'!F255)</f>
        <v/>
      </c>
      <c r="F258" s="11" t="str">
        <f aca="false">IF('Grocery Purchases'!B255="","",'Grocery Purchases'!G255)</f>
        <v/>
      </c>
      <c r="G258" s="32" t="str">
        <f aca="false">IF('Grocery Purchases'!B255="","",'Grocery Purchases'!H255)</f>
        <v/>
      </c>
      <c r="H258" s="14" t="str">
        <f aca="false">IF('Grocery Purchases'!B255="","",'Grocery Purchases'!I255)</f>
        <v/>
      </c>
    </row>
    <row r="259" customFormat="false" ht="15" hidden="false" customHeight="true" outlineLevel="0" collapsed="false">
      <c r="A259" s="12" t="str">
        <f aca="false">IF('Grocery Purchases'!B256="","",'Grocery Purchases'!A256)</f>
        <v/>
      </c>
      <c r="B259" s="17" t="str">
        <f aca="false">IF('Grocery Purchases'!B256="","",'Grocery Purchases'!B256)</f>
        <v/>
      </c>
      <c r="C259" s="17" t="str">
        <f aca="false">IF('Grocery Purchases'!B256="","",'Grocery Purchases'!C256)</f>
        <v/>
      </c>
      <c r="D259" s="14" t="str">
        <f aca="false">IF('Grocery Purchases'!B256="","",'Grocery Purchases'!D256)</f>
        <v/>
      </c>
      <c r="E259" s="11" t="str">
        <f aca="false">IF('Grocery Purchases'!B256="","",'Grocery Purchases'!F256)</f>
        <v/>
      </c>
      <c r="F259" s="11" t="str">
        <f aca="false">IF('Grocery Purchases'!B256="","",'Grocery Purchases'!G256)</f>
        <v/>
      </c>
      <c r="G259" s="32" t="str">
        <f aca="false">IF('Grocery Purchases'!B256="","",'Grocery Purchases'!H256)</f>
        <v/>
      </c>
      <c r="H259" s="14" t="str">
        <f aca="false">IF('Grocery Purchases'!B256="","",'Grocery Purchases'!I256)</f>
        <v/>
      </c>
    </row>
    <row r="260" customFormat="false" ht="15" hidden="false" customHeight="true" outlineLevel="0" collapsed="false">
      <c r="A260" s="12" t="str">
        <f aca="false">IF('Grocery Purchases'!B257="","",'Grocery Purchases'!A257)</f>
        <v/>
      </c>
      <c r="B260" s="17" t="str">
        <f aca="false">IF('Grocery Purchases'!B257="","",'Grocery Purchases'!B257)</f>
        <v/>
      </c>
      <c r="C260" s="17" t="str">
        <f aca="false">IF('Grocery Purchases'!B257="","",'Grocery Purchases'!C257)</f>
        <v/>
      </c>
      <c r="D260" s="14" t="str">
        <f aca="false">IF('Grocery Purchases'!B257="","",'Grocery Purchases'!D257)</f>
        <v/>
      </c>
      <c r="E260" s="11" t="str">
        <f aca="false">IF('Grocery Purchases'!B257="","",'Grocery Purchases'!F257)</f>
        <v/>
      </c>
      <c r="F260" s="11" t="str">
        <f aca="false">IF('Grocery Purchases'!B257="","",'Grocery Purchases'!G257)</f>
        <v/>
      </c>
      <c r="G260" s="32" t="str">
        <f aca="false">IF('Grocery Purchases'!B257="","",'Grocery Purchases'!H257)</f>
        <v/>
      </c>
      <c r="H260" s="14" t="str">
        <f aca="false">IF('Grocery Purchases'!B257="","",'Grocery Purchases'!I257)</f>
        <v/>
      </c>
    </row>
    <row r="261" customFormat="false" ht="15" hidden="false" customHeight="true" outlineLevel="0" collapsed="false">
      <c r="A261" s="12" t="str">
        <f aca="false">IF('Grocery Purchases'!B258="","",'Grocery Purchases'!A258)</f>
        <v/>
      </c>
      <c r="B261" s="17" t="str">
        <f aca="false">IF('Grocery Purchases'!B258="","",'Grocery Purchases'!B258)</f>
        <v/>
      </c>
      <c r="C261" s="17" t="str">
        <f aca="false">IF('Grocery Purchases'!B258="","",'Grocery Purchases'!C258)</f>
        <v/>
      </c>
      <c r="D261" s="14" t="str">
        <f aca="false">IF('Grocery Purchases'!B258="","",'Grocery Purchases'!D258)</f>
        <v/>
      </c>
      <c r="E261" s="11" t="str">
        <f aca="false">IF('Grocery Purchases'!B258="","",'Grocery Purchases'!F258)</f>
        <v/>
      </c>
      <c r="F261" s="11" t="str">
        <f aca="false">IF('Grocery Purchases'!B258="","",'Grocery Purchases'!G258)</f>
        <v/>
      </c>
      <c r="G261" s="32" t="str">
        <f aca="false">IF('Grocery Purchases'!B258="","",'Grocery Purchases'!H258)</f>
        <v/>
      </c>
      <c r="H261" s="14" t="str">
        <f aca="false">IF('Grocery Purchases'!B258="","",'Grocery Purchases'!I258)</f>
        <v/>
      </c>
    </row>
    <row r="262" customFormat="false" ht="15" hidden="false" customHeight="true" outlineLevel="0" collapsed="false">
      <c r="A262" s="12" t="str">
        <f aca="false">IF('Grocery Purchases'!B259="","",'Grocery Purchases'!A259)</f>
        <v/>
      </c>
      <c r="B262" s="17" t="str">
        <f aca="false">IF('Grocery Purchases'!B259="","",'Grocery Purchases'!B259)</f>
        <v/>
      </c>
      <c r="C262" s="17" t="str">
        <f aca="false">IF('Grocery Purchases'!B259="","",'Grocery Purchases'!C259)</f>
        <v/>
      </c>
      <c r="D262" s="14" t="str">
        <f aca="false">IF('Grocery Purchases'!B259="","",'Grocery Purchases'!D259)</f>
        <v/>
      </c>
      <c r="E262" s="11" t="str">
        <f aca="false">IF('Grocery Purchases'!B259="","",'Grocery Purchases'!F259)</f>
        <v/>
      </c>
      <c r="F262" s="11" t="str">
        <f aca="false">IF('Grocery Purchases'!B259="","",'Grocery Purchases'!G259)</f>
        <v/>
      </c>
      <c r="G262" s="32" t="str">
        <f aca="false">IF('Grocery Purchases'!B259="","",'Grocery Purchases'!H259)</f>
        <v/>
      </c>
      <c r="H262" s="14" t="str">
        <f aca="false">IF('Grocery Purchases'!B259="","",'Grocery Purchases'!I259)</f>
        <v/>
      </c>
    </row>
    <row r="263" customFormat="false" ht="15" hidden="false" customHeight="true" outlineLevel="0" collapsed="false">
      <c r="A263" s="12" t="str">
        <f aca="false">IF('Grocery Purchases'!B260="","",'Grocery Purchases'!A260)</f>
        <v/>
      </c>
      <c r="B263" s="17" t="str">
        <f aca="false">IF('Grocery Purchases'!B260="","",'Grocery Purchases'!B260)</f>
        <v/>
      </c>
      <c r="C263" s="17" t="str">
        <f aca="false">IF('Grocery Purchases'!B260="","",'Grocery Purchases'!C260)</f>
        <v/>
      </c>
      <c r="D263" s="14" t="str">
        <f aca="false">IF('Grocery Purchases'!B260="","",'Grocery Purchases'!D260)</f>
        <v/>
      </c>
      <c r="E263" s="11" t="str">
        <f aca="false">IF('Grocery Purchases'!B260="","",'Grocery Purchases'!F260)</f>
        <v/>
      </c>
      <c r="F263" s="11" t="str">
        <f aca="false">IF('Grocery Purchases'!B260="","",'Grocery Purchases'!G260)</f>
        <v/>
      </c>
      <c r="G263" s="32" t="str">
        <f aca="false">IF('Grocery Purchases'!B260="","",'Grocery Purchases'!H260)</f>
        <v/>
      </c>
      <c r="H263" s="14" t="str">
        <f aca="false">IF('Grocery Purchases'!B260="","",'Grocery Purchases'!I260)</f>
        <v/>
      </c>
    </row>
    <row r="264" customFormat="false" ht="15" hidden="false" customHeight="true" outlineLevel="0" collapsed="false">
      <c r="A264" s="12" t="str">
        <f aca="false">IF('Grocery Purchases'!B261="","",'Grocery Purchases'!A261)</f>
        <v/>
      </c>
      <c r="B264" s="17" t="str">
        <f aca="false">IF('Grocery Purchases'!B261="","",'Grocery Purchases'!B261)</f>
        <v/>
      </c>
      <c r="C264" s="17" t="str">
        <f aca="false">IF('Grocery Purchases'!B261="","",'Grocery Purchases'!C261)</f>
        <v/>
      </c>
      <c r="D264" s="14" t="str">
        <f aca="false">IF('Grocery Purchases'!B261="","",'Grocery Purchases'!D261)</f>
        <v/>
      </c>
      <c r="E264" s="11" t="str">
        <f aca="false">IF('Grocery Purchases'!B261="","",'Grocery Purchases'!F261)</f>
        <v/>
      </c>
      <c r="F264" s="11" t="str">
        <f aca="false">IF('Grocery Purchases'!B261="","",'Grocery Purchases'!G261)</f>
        <v/>
      </c>
      <c r="G264" s="32" t="str">
        <f aca="false">IF('Grocery Purchases'!B261="","",'Grocery Purchases'!H261)</f>
        <v/>
      </c>
      <c r="H264" s="14" t="str">
        <f aca="false">IF('Grocery Purchases'!B261="","",'Grocery Purchases'!I261)</f>
        <v/>
      </c>
    </row>
    <row r="265" customFormat="false" ht="15" hidden="false" customHeight="true" outlineLevel="0" collapsed="false">
      <c r="A265" s="12" t="str">
        <f aca="false">IF('Grocery Purchases'!B262="","",'Grocery Purchases'!A262)</f>
        <v/>
      </c>
      <c r="B265" s="17" t="str">
        <f aca="false">IF('Grocery Purchases'!B262="","",'Grocery Purchases'!B262)</f>
        <v/>
      </c>
      <c r="C265" s="17" t="str">
        <f aca="false">IF('Grocery Purchases'!B262="","",'Grocery Purchases'!C262)</f>
        <v/>
      </c>
      <c r="D265" s="14" t="str">
        <f aca="false">IF('Grocery Purchases'!B262="","",'Grocery Purchases'!D262)</f>
        <v/>
      </c>
      <c r="E265" s="11" t="str">
        <f aca="false">IF('Grocery Purchases'!B262="","",'Grocery Purchases'!F262)</f>
        <v/>
      </c>
      <c r="F265" s="11" t="str">
        <f aca="false">IF('Grocery Purchases'!B262="","",'Grocery Purchases'!G262)</f>
        <v/>
      </c>
      <c r="G265" s="32" t="str">
        <f aca="false">IF('Grocery Purchases'!B262="","",'Grocery Purchases'!H262)</f>
        <v/>
      </c>
      <c r="H265" s="14" t="str">
        <f aca="false">IF('Grocery Purchases'!B262="","",'Grocery Purchases'!I262)</f>
        <v/>
      </c>
    </row>
    <row r="266" customFormat="false" ht="15" hidden="false" customHeight="true" outlineLevel="0" collapsed="false">
      <c r="A266" s="12" t="str">
        <f aca="false">IF('Grocery Purchases'!B263="","",'Grocery Purchases'!A263)</f>
        <v/>
      </c>
      <c r="B266" s="17" t="str">
        <f aca="false">IF('Grocery Purchases'!B263="","",'Grocery Purchases'!B263)</f>
        <v/>
      </c>
      <c r="C266" s="17" t="str">
        <f aca="false">IF('Grocery Purchases'!B263="","",'Grocery Purchases'!C263)</f>
        <v/>
      </c>
      <c r="D266" s="14" t="str">
        <f aca="false">IF('Grocery Purchases'!B263="","",'Grocery Purchases'!D263)</f>
        <v/>
      </c>
      <c r="E266" s="11" t="str">
        <f aca="false">IF('Grocery Purchases'!B263="","",'Grocery Purchases'!F263)</f>
        <v/>
      </c>
      <c r="F266" s="11" t="str">
        <f aca="false">IF('Grocery Purchases'!B263="","",'Grocery Purchases'!G263)</f>
        <v/>
      </c>
      <c r="G266" s="32" t="str">
        <f aca="false">IF('Grocery Purchases'!B263="","",'Grocery Purchases'!H263)</f>
        <v/>
      </c>
      <c r="H266" s="14" t="str">
        <f aca="false">IF('Grocery Purchases'!B263="","",'Grocery Purchases'!I263)</f>
        <v/>
      </c>
    </row>
    <row r="267" customFormat="false" ht="15" hidden="false" customHeight="true" outlineLevel="0" collapsed="false">
      <c r="A267" s="12" t="str">
        <f aca="false">IF('Grocery Purchases'!B264="","",'Grocery Purchases'!A264)</f>
        <v/>
      </c>
      <c r="B267" s="17" t="str">
        <f aca="false">IF('Grocery Purchases'!B264="","",'Grocery Purchases'!B264)</f>
        <v/>
      </c>
      <c r="C267" s="17" t="str">
        <f aca="false">IF('Grocery Purchases'!B264="","",'Grocery Purchases'!C264)</f>
        <v/>
      </c>
      <c r="D267" s="14" t="str">
        <f aca="false">IF('Grocery Purchases'!B264="","",'Grocery Purchases'!D264)</f>
        <v/>
      </c>
      <c r="E267" s="11" t="str">
        <f aca="false">IF('Grocery Purchases'!B264="","",'Grocery Purchases'!F264)</f>
        <v/>
      </c>
      <c r="F267" s="11" t="str">
        <f aca="false">IF('Grocery Purchases'!B264="","",'Grocery Purchases'!G264)</f>
        <v/>
      </c>
      <c r="G267" s="32" t="str">
        <f aca="false">IF('Grocery Purchases'!B264="","",'Grocery Purchases'!H264)</f>
        <v/>
      </c>
      <c r="H267" s="14" t="str">
        <f aca="false">IF('Grocery Purchases'!B264="","",'Grocery Purchases'!I264)</f>
        <v/>
      </c>
    </row>
    <row r="268" customFormat="false" ht="15" hidden="false" customHeight="true" outlineLevel="0" collapsed="false">
      <c r="A268" s="12" t="str">
        <f aca="false">IF('Grocery Purchases'!B265="","",'Grocery Purchases'!A265)</f>
        <v/>
      </c>
      <c r="B268" s="17" t="str">
        <f aca="false">IF('Grocery Purchases'!B265="","",'Grocery Purchases'!B265)</f>
        <v/>
      </c>
      <c r="C268" s="17" t="str">
        <f aca="false">IF('Grocery Purchases'!B265="","",'Grocery Purchases'!C265)</f>
        <v/>
      </c>
      <c r="D268" s="14" t="str">
        <f aca="false">IF('Grocery Purchases'!B265="","",'Grocery Purchases'!D265)</f>
        <v/>
      </c>
      <c r="E268" s="11" t="str">
        <f aca="false">IF('Grocery Purchases'!B265="","",'Grocery Purchases'!F265)</f>
        <v/>
      </c>
      <c r="F268" s="11" t="str">
        <f aca="false">IF('Grocery Purchases'!B265="","",'Grocery Purchases'!G265)</f>
        <v/>
      </c>
      <c r="G268" s="32" t="str">
        <f aca="false">IF('Grocery Purchases'!B265="","",'Grocery Purchases'!H265)</f>
        <v/>
      </c>
      <c r="H268" s="14" t="str">
        <f aca="false">IF('Grocery Purchases'!B265="","",'Grocery Purchases'!I265)</f>
        <v/>
      </c>
    </row>
    <row r="269" customFormat="false" ht="15" hidden="false" customHeight="true" outlineLevel="0" collapsed="false">
      <c r="A269" s="12" t="str">
        <f aca="false">IF('Grocery Purchases'!B266="","",'Grocery Purchases'!A266)</f>
        <v/>
      </c>
      <c r="B269" s="17" t="str">
        <f aca="false">IF('Grocery Purchases'!B266="","",'Grocery Purchases'!B266)</f>
        <v/>
      </c>
      <c r="C269" s="17" t="str">
        <f aca="false">IF('Grocery Purchases'!B266="","",'Grocery Purchases'!C266)</f>
        <v/>
      </c>
      <c r="D269" s="14" t="str">
        <f aca="false">IF('Grocery Purchases'!B266="","",'Grocery Purchases'!D266)</f>
        <v/>
      </c>
      <c r="E269" s="11" t="str">
        <f aca="false">IF('Grocery Purchases'!B266="","",'Grocery Purchases'!F266)</f>
        <v/>
      </c>
      <c r="F269" s="11" t="str">
        <f aca="false">IF('Grocery Purchases'!B266="","",'Grocery Purchases'!G266)</f>
        <v/>
      </c>
      <c r="G269" s="32" t="str">
        <f aca="false">IF('Grocery Purchases'!B266="","",'Grocery Purchases'!H266)</f>
        <v/>
      </c>
      <c r="H269" s="14" t="str">
        <f aca="false">IF('Grocery Purchases'!B266="","",'Grocery Purchases'!I266)</f>
        <v/>
      </c>
    </row>
    <row r="270" customFormat="false" ht="15" hidden="false" customHeight="true" outlineLevel="0" collapsed="false">
      <c r="A270" s="12" t="str">
        <f aca="false">IF('Grocery Purchases'!B267="","",'Grocery Purchases'!A267)</f>
        <v/>
      </c>
      <c r="B270" s="17" t="str">
        <f aca="false">IF('Grocery Purchases'!B267="","",'Grocery Purchases'!B267)</f>
        <v/>
      </c>
      <c r="C270" s="17" t="str">
        <f aca="false">IF('Grocery Purchases'!B267="","",'Grocery Purchases'!C267)</f>
        <v/>
      </c>
      <c r="D270" s="14" t="str">
        <f aca="false">IF('Grocery Purchases'!B267="","",'Grocery Purchases'!D267)</f>
        <v/>
      </c>
      <c r="E270" s="11" t="str">
        <f aca="false">IF('Grocery Purchases'!B267="","",'Grocery Purchases'!F267)</f>
        <v/>
      </c>
      <c r="F270" s="11" t="str">
        <f aca="false">IF('Grocery Purchases'!B267="","",'Grocery Purchases'!G267)</f>
        <v/>
      </c>
      <c r="G270" s="32" t="str">
        <f aca="false">IF('Grocery Purchases'!B267="","",'Grocery Purchases'!H267)</f>
        <v/>
      </c>
      <c r="H270" s="14" t="str">
        <f aca="false">IF('Grocery Purchases'!B267="","",'Grocery Purchases'!I267)</f>
        <v/>
      </c>
    </row>
    <row r="271" customFormat="false" ht="15" hidden="false" customHeight="true" outlineLevel="0" collapsed="false">
      <c r="A271" s="12" t="str">
        <f aca="false">IF('Grocery Purchases'!B268="","",'Grocery Purchases'!A268)</f>
        <v/>
      </c>
      <c r="B271" s="17" t="str">
        <f aca="false">IF('Grocery Purchases'!B268="","",'Grocery Purchases'!B268)</f>
        <v/>
      </c>
      <c r="C271" s="17" t="str">
        <f aca="false">IF('Grocery Purchases'!B268="","",'Grocery Purchases'!C268)</f>
        <v/>
      </c>
      <c r="D271" s="14" t="str">
        <f aca="false">IF('Grocery Purchases'!B268="","",'Grocery Purchases'!D268)</f>
        <v/>
      </c>
      <c r="E271" s="11" t="str">
        <f aca="false">IF('Grocery Purchases'!B268="","",'Grocery Purchases'!F268)</f>
        <v/>
      </c>
      <c r="F271" s="11" t="str">
        <f aca="false">IF('Grocery Purchases'!B268="","",'Grocery Purchases'!G268)</f>
        <v/>
      </c>
      <c r="G271" s="32" t="str">
        <f aca="false">IF('Grocery Purchases'!B268="","",'Grocery Purchases'!H268)</f>
        <v/>
      </c>
      <c r="H271" s="14" t="str">
        <f aca="false">IF('Grocery Purchases'!B268="","",'Grocery Purchases'!I268)</f>
        <v/>
      </c>
    </row>
    <row r="272" customFormat="false" ht="15" hidden="false" customHeight="true" outlineLevel="0" collapsed="false">
      <c r="A272" s="12" t="str">
        <f aca="false">IF('Grocery Purchases'!B269="","",'Grocery Purchases'!A269)</f>
        <v/>
      </c>
      <c r="B272" s="17" t="str">
        <f aca="false">IF('Grocery Purchases'!B269="","",'Grocery Purchases'!B269)</f>
        <v/>
      </c>
      <c r="C272" s="17" t="str">
        <f aca="false">IF('Grocery Purchases'!B269="","",'Grocery Purchases'!C269)</f>
        <v/>
      </c>
      <c r="D272" s="14" t="str">
        <f aca="false">IF('Grocery Purchases'!B269="","",'Grocery Purchases'!D269)</f>
        <v/>
      </c>
      <c r="E272" s="11" t="str">
        <f aca="false">IF('Grocery Purchases'!B269="","",'Grocery Purchases'!F269)</f>
        <v/>
      </c>
      <c r="F272" s="11" t="str">
        <f aca="false">IF('Grocery Purchases'!B269="","",'Grocery Purchases'!G269)</f>
        <v/>
      </c>
      <c r="G272" s="32" t="str">
        <f aca="false">IF('Grocery Purchases'!B269="","",'Grocery Purchases'!H269)</f>
        <v/>
      </c>
      <c r="H272" s="14" t="str">
        <f aca="false">IF('Grocery Purchases'!B269="","",'Grocery Purchases'!I269)</f>
        <v/>
      </c>
    </row>
    <row r="273" customFormat="false" ht="15" hidden="false" customHeight="true" outlineLevel="0" collapsed="false">
      <c r="A273" s="12" t="str">
        <f aca="false">IF('Grocery Purchases'!B270="","",'Grocery Purchases'!A270)</f>
        <v/>
      </c>
      <c r="B273" s="17" t="str">
        <f aca="false">IF('Grocery Purchases'!B270="","",'Grocery Purchases'!B270)</f>
        <v/>
      </c>
      <c r="C273" s="17" t="str">
        <f aca="false">IF('Grocery Purchases'!B270="","",'Grocery Purchases'!C270)</f>
        <v/>
      </c>
      <c r="D273" s="14" t="str">
        <f aca="false">IF('Grocery Purchases'!B270="","",'Grocery Purchases'!D270)</f>
        <v/>
      </c>
      <c r="E273" s="11" t="str">
        <f aca="false">IF('Grocery Purchases'!B270="","",'Grocery Purchases'!F270)</f>
        <v/>
      </c>
      <c r="F273" s="11" t="str">
        <f aca="false">IF('Grocery Purchases'!B270="","",'Grocery Purchases'!G270)</f>
        <v/>
      </c>
      <c r="G273" s="32" t="str">
        <f aca="false">IF('Grocery Purchases'!B270="","",'Grocery Purchases'!H270)</f>
        <v/>
      </c>
      <c r="H273" s="14" t="str">
        <f aca="false">IF('Grocery Purchases'!B270="","",'Grocery Purchases'!I270)</f>
        <v/>
      </c>
    </row>
    <row r="274" customFormat="false" ht="15" hidden="false" customHeight="true" outlineLevel="0" collapsed="false">
      <c r="A274" s="12" t="str">
        <f aca="false">IF('Grocery Purchases'!B271="","",'Grocery Purchases'!A271)</f>
        <v/>
      </c>
      <c r="B274" s="17" t="str">
        <f aca="false">IF('Grocery Purchases'!B271="","",'Grocery Purchases'!B271)</f>
        <v/>
      </c>
      <c r="C274" s="17" t="str">
        <f aca="false">IF('Grocery Purchases'!B271="","",'Grocery Purchases'!C271)</f>
        <v/>
      </c>
      <c r="D274" s="14" t="str">
        <f aca="false">IF('Grocery Purchases'!B271="","",'Grocery Purchases'!D271)</f>
        <v/>
      </c>
      <c r="E274" s="11" t="str">
        <f aca="false">IF('Grocery Purchases'!B271="","",'Grocery Purchases'!F271)</f>
        <v/>
      </c>
      <c r="F274" s="11" t="str">
        <f aca="false">IF('Grocery Purchases'!B271="","",'Grocery Purchases'!G271)</f>
        <v/>
      </c>
      <c r="G274" s="32" t="str">
        <f aca="false">IF('Grocery Purchases'!B271="","",'Grocery Purchases'!H271)</f>
        <v/>
      </c>
      <c r="H274" s="14" t="str">
        <f aca="false">IF('Grocery Purchases'!B271="","",'Grocery Purchases'!I271)</f>
        <v/>
      </c>
    </row>
    <row r="275" customFormat="false" ht="15" hidden="false" customHeight="true" outlineLevel="0" collapsed="false">
      <c r="A275" s="12" t="str">
        <f aca="false">IF('Grocery Purchases'!B272="","",'Grocery Purchases'!A272)</f>
        <v/>
      </c>
      <c r="B275" s="17" t="str">
        <f aca="false">IF('Grocery Purchases'!B272="","",'Grocery Purchases'!B272)</f>
        <v/>
      </c>
      <c r="C275" s="17" t="str">
        <f aca="false">IF('Grocery Purchases'!B272="","",'Grocery Purchases'!C272)</f>
        <v/>
      </c>
      <c r="D275" s="14" t="str">
        <f aca="false">IF('Grocery Purchases'!B272="","",'Grocery Purchases'!D272)</f>
        <v/>
      </c>
      <c r="E275" s="11" t="str">
        <f aca="false">IF('Grocery Purchases'!B272="","",'Grocery Purchases'!F272)</f>
        <v/>
      </c>
      <c r="F275" s="11" t="str">
        <f aca="false">IF('Grocery Purchases'!B272="","",'Grocery Purchases'!G272)</f>
        <v/>
      </c>
      <c r="G275" s="32" t="str">
        <f aca="false">IF('Grocery Purchases'!B272="","",'Grocery Purchases'!H272)</f>
        <v/>
      </c>
      <c r="H275" s="14" t="str">
        <f aca="false">IF('Grocery Purchases'!B272="","",'Grocery Purchases'!I272)</f>
        <v/>
      </c>
    </row>
    <row r="276" customFormat="false" ht="15" hidden="false" customHeight="true" outlineLevel="0" collapsed="false">
      <c r="A276" s="12" t="str">
        <f aca="false">IF('Grocery Purchases'!B273="","",'Grocery Purchases'!A273)</f>
        <v/>
      </c>
      <c r="B276" s="17" t="str">
        <f aca="false">IF('Grocery Purchases'!B273="","",'Grocery Purchases'!B273)</f>
        <v/>
      </c>
      <c r="C276" s="17" t="str">
        <f aca="false">IF('Grocery Purchases'!B273="","",'Grocery Purchases'!C273)</f>
        <v/>
      </c>
      <c r="D276" s="14" t="str">
        <f aca="false">IF('Grocery Purchases'!B273="","",'Grocery Purchases'!D273)</f>
        <v/>
      </c>
      <c r="E276" s="11" t="str">
        <f aca="false">IF('Grocery Purchases'!B273="","",'Grocery Purchases'!F273)</f>
        <v/>
      </c>
      <c r="F276" s="11" t="str">
        <f aca="false">IF('Grocery Purchases'!B273="","",'Grocery Purchases'!G273)</f>
        <v/>
      </c>
      <c r="G276" s="32" t="str">
        <f aca="false">IF('Grocery Purchases'!B273="","",'Grocery Purchases'!H273)</f>
        <v/>
      </c>
      <c r="H276" s="14" t="str">
        <f aca="false">IF('Grocery Purchases'!B273="","",'Grocery Purchases'!I273)</f>
        <v/>
      </c>
    </row>
    <row r="277" customFormat="false" ht="15" hidden="false" customHeight="true" outlineLevel="0" collapsed="false">
      <c r="A277" s="12" t="str">
        <f aca="false">IF('Grocery Purchases'!B274="","",'Grocery Purchases'!A274)</f>
        <v/>
      </c>
      <c r="B277" s="17" t="str">
        <f aca="false">IF('Grocery Purchases'!B274="","",'Grocery Purchases'!B274)</f>
        <v/>
      </c>
      <c r="C277" s="17" t="str">
        <f aca="false">IF('Grocery Purchases'!B274="","",'Grocery Purchases'!C274)</f>
        <v/>
      </c>
      <c r="D277" s="14" t="str">
        <f aca="false">IF('Grocery Purchases'!B274="","",'Grocery Purchases'!D274)</f>
        <v/>
      </c>
      <c r="E277" s="11" t="str">
        <f aca="false">IF('Grocery Purchases'!B274="","",'Grocery Purchases'!F274)</f>
        <v/>
      </c>
      <c r="F277" s="11" t="str">
        <f aca="false">IF('Grocery Purchases'!B274="","",'Grocery Purchases'!G274)</f>
        <v/>
      </c>
      <c r="G277" s="32" t="str">
        <f aca="false">IF('Grocery Purchases'!B274="","",'Grocery Purchases'!H274)</f>
        <v/>
      </c>
      <c r="H277" s="14" t="str">
        <f aca="false">IF('Grocery Purchases'!B274="","",'Grocery Purchases'!I274)</f>
        <v/>
      </c>
    </row>
    <row r="278" customFormat="false" ht="15" hidden="false" customHeight="true" outlineLevel="0" collapsed="false">
      <c r="A278" s="12" t="str">
        <f aca="false">IF('Grocery Purchases'!B275="","",'Grocery Purchases'!A275)</f>
        <v/>
      </c>
      <c r="B278" s="17" t="str">
        <f aca="false">IF('Grocery Purchases'!B275="","",'Grocery Purchases'!B275)</f>
        <v/>
      </c>
      <c r="C278" s="17" t="str">
        <f aca="false">IF('Grocery Purchases'!B275="","",'Grocery Purchases'!C275)</f>
        <v/>
      </c>
      <c r="D278" s="14" t="str">
        <f aca="false">IF('Grocery Purchases'!B275="","",'Grocery Purchases'!D275)</f>
        <v/>
      </c>
      <c r="E278" s="11" t="str">
        <f aca="false">IF('Grocery Purchases'!B275="","",'Grocery Purchases'!F275)</f>
        <v/>
      </c>
      <c r="F278" s="11" t="str">
        <f aca="false">IF('Grocery Purchases'!B275="","",'Grocery Purchases'!G275)</f>
        <v/>
      </c>
      <c r="G278" s="32" t="str">
        <f aca="false">IF('Grocery Purchases'!B275="","",'Grocery Purchases'!H275)</f>
        <v/>
      </c>
      <c r="H278" s="14" t="str">
        <f aca="false">IF('Grocery Purchases'!B275="","",'Grocery Purchases'!I275)</f>
        <v/>
      </c>
    </row>
    <row r="279" customFormat="false" ht="15" hidden="false" customHeight="true" outlineLevel="0" collapsed="false">
      <c r="A279" s="12" t="str">
        <f aca="false">IF('Grocery Purchases'!B276="","",'Grocery Purchases'!A276)</f>
        <v/>
      </c>
      <c r="B279" s="17" t="str">
        <f aca="false">IF('Grocery Purchases'!B276="","",'Grocery Purchases'!B276)</f>
        <v/>
      </c>
      <c r="C279" s="17" t="str">
        <f aca="false">IF('Grocery Purchases'!B276="","",'Grocery Purchases'!C276)</f>
        <v/>
      </c>
      <c r="D279" s="14" t="str">
        <f aca="false">IF('Grocery Purchases'!B276="","",'Grocery Purchases'!D276)</f>
        <v/>
      </c>
      <c r="E279" s="11" t="str">
        <f aca="false">IF('Grocery Purchases'!B276="","",'Grocery Purchases'!F276)</f>
        <v/>
      </c>
      <c r="F279" s="11" t="str">
        <f aca="false">IF('Grocery Purchases'!B276="","",'Grocery Purchases'!G276)</f>
        <v/>
      </c>
      <c r="G279" s="32" t="str">
        <f aca="false">IF('Grocery Purchases'!B276="","",'Grocery Purchases'!H276)</f>
        <v/>
      </c>
      <c r="H279" s="14" t="str">
        <f aca="false">IF('Grocery Purchases'!B276="","",'Grocery Purchases'!I276)</f>
        <v/>
      </c>
    </row>
    <row r="280" customFormat="false" ht="15" hidden="false" customHeight="true" outlineLevel="0" collapsed="false">
      <c r="A280" s="12" t="str">
        <f aca="false">IF('Grocery Purchases'!B277="","",'Grocery Purchases'!A277)</f>
        <v/>
      </c>
      <c r="B280" s="17" t="str">
        <f aca="false">IF('Grocery Purchases'!B277="","",'Grocery Purchases'!B277)</f>
        <v/>
      </c>
      <c r="C280" s="17" t="str">
        <f aca="false">IF('Grocery Purchases'!B277="","",'Grocery Purchases'!C277)</f>
        <v/>
      </c>
      <c r="D280" s="14" t="str">
        <f aca="false">IF('Grocery Purchases'!B277="","",'Grocery Purchases'!D277)</f>
        <v/>
      </c>
      <c r="E280" s="11" t="str">
        <f aca="false">IF('Grocery Purchases'!B277="","",'Grocery Purchases'!F277)</f>
        <v/>
      </c>
      <c r="F280" s="11" t="str">
        <f aca="false">IF('Grocery Purchases'!B277="","",'Grocery Purchases'!G277)</f>
        <v/>
      </c>
      <c r="G280" s="32" t="str">
        <f aca="false">IF('Grocery Purchases'!B277="","",'Grocery Purchases'!H277)</f>
        <v/>
      </c>
      <c r="H280" s="14" t="str">
        <f aca="false">IF('Grocery Purchases'!B277="","",'Grocery Purchases'!I277)</f>
        <v/>
      </c>
    </row>
    <row r="281" customFormat="false" ht="15" hidden="false" customHeight="true" outlineLevel="0" collapsed="false">
      <c r="A281" s="12" t="str">
        <f aca="false">IF('Grocery Purchases'!B278="","",'Grocery Purchases'!A278)</f>
        <v/>
      </c>
      <c r="B281" s="17" t="str">
        <f aca="false">IF('Grocery Purchases'!B278="","",'Grocery Purchases'!B278)</f>
        <v/>
      </c>
      <c r="C281" s="17" t="str">
        <f aca="false">IF('Grocery Purchases'!B278="","",'Grocery Purchases'!C278)</f>
        <v/>
      </c>
      <c r="D281" s="14" t="str">
        <f aca="false">IF('Grocery Purchases'!B278="","",'Grocery Purchases'!D278)</f>
        <v/>
      </c>
      <c r="E281" s="11" t="str">
        <f aca="false">IF('Grocery Purchases'!B278="","",'Grocery Purchases'!F278)</f>
        <v/>
      </c>
      <c r="F281" s="11" t="str">
        <f aca="false">IF('Grocery Purchases'!B278="","",'Grocery Purchases'!G278)</f>
        <v/>
      </c>
      <c r="G281" s="32" t="str">
        <f aca="false">IF('Grocery Purchases'!B278="","",'Grocery Purchases'!H278)</f>
        <v/>
      </c>
      <c r="H281" s="14" t="str">
        <f aca="false">IF('Grocery Purchases'!B278="","",'Grocery Purchases'!I278)</f>
        <v/>
      </c>
    </row>
    <row r="282" customFormat="false" ht="15" hidden="false" customHeight="true" outlineLevel="0" collapsed="false">
      <c r="A282" s="12" t="str">
        <f aca="false">IF('Grocery Purchases'!B279="","",'Grocery Purchases'!A279)</f>
        <v/>
      </c>
      <c r="B282" s="17" t="str">
        <f aca="false">IF('Grocery Purchases'!B279="","",'Grocery Purchases'!B279)</f>
        <v/>
      </c>
      <c r="C282" s="17" t="str">
        <f aca="false">IF('Grocery Purchases'!B279="","",'Grocery Purchases'!C279)</f>
        <v/>
      </c>
      <c r="D282" s="14" t="str">
        <f aca="false">IF('Grocery Purchases'!B279="","",'Grocery Purchases'!D279)</f>
        <v/>
      </c>
      <c r="E282" s="11" t="str">
        <f aca="false">IF('Grocery Purchases'!B279="","",'Grocery Purchases'!F279)</f>
        <v/>
      </c>
      <c r="F282" s="11" t="str">
        <f aca="false">IF('Grocery Purchases'!B279="","",'Grocery Purchases'!G279)</f>
        <v/>
      </c>
      <c r="G282" s="32" t="str">
        <f aca="false">IF('Grocery Purchases'!B279="","",'Grocery Purchases'!H279)</f>
        <v/>
      </c>
      <c r="H282" s="14" t="str">
        <f aca="false">IF('Grocery Purchases'!B279="","",'Grocery Purchases'!I279)</f>
        <v/>
      </c>
    </row>
    <row r="283" customFormat="false" ht="15" hidden="false" customHeight="true" outlineLevel="0" collapsed="false">
      <c r="A283" s="12" t="str">
        <f aca="false">IF('Grocery Purchases'!B280="","",'Grocery Purchases'!A280)</f>
        <v/>
      </c>
      <c r="B283" s="17" t="str">
        <f aca="false">IF('Grocery Purchases'!B280="","",'Grocery Purchases'!B280)</f>
        <v/>
      </c>
      <c r="C283" s="17" t="str">
        <f aca="false">IF('Grocery Purchases'!B280="","",'Grocery Purchases'!C280)</f>
        <v/>
      </c>
      <c r="D283" s="14" t="str">
        <f aca="false">IF('Grocery Purchases'!B280="","",'Grocery Purchases'!D280)</f>
        <v/>
      </c>
      <c r="E283" s="11" t="str">
        <f aca="false">IF('Grocery Purchases'!B280="","",'Grocery Purchases'!F280)</f>
        <v/>
      </c>
      <c r="F283" s="11" t="str">
        <f aca="false">IF('Grocery Purchases'!B280="","",'Grocery Purchases'!G280)</f>
        <v/>
      </c>
      <c r="G283" s="32" t="str">
        <f aca="false">IF('Grocery Purchases'!B280="","",'Grocery Purchases'!H280)</f>
        <v/>
      </c>
      <c r="H283" s="14" t="str">
        <f aca="false">IF('Grocery Purchases'!B280="","",'Grocery Purchases'!I280)</f>
        <v/>
      </c>
    </row>
    <row r="284" customFormat="false" ht="15" hidden="false" customHeight="true" outlineLevel="0" collapsed="false">
      <c r="A284" s="12" t="str">
        <f aca="false">IF('Grocery Purchases'!B281="","",'Grocery Purchases'!A281)</f>
        <v/>
      </c>
      <c r="B284" s="17" t="str">
        <f aca="false">IF('Grocery Purchases'!B281="","",'Grocery Purchases'!B281)</f>
        <v/>
      </c>
      <c r="C284" s="17" t="str">
        <f aca="false">IF('Grocery Purchases'!B281="","",'Grocery Purchases'!C281)</f>
        <v/>
      </c>
      <c r="D284" s="14" t="str">
        <f aca="false">IF('Grocery Purchases'!B281="","",'Grocery Purchases'!D281)</f>
        <v/>
      </c>
      <c r="E284" s="11" t="str">
        <f aca="false">IF('Grocery Purchases'!B281="","",'Grocery Purchases'!F281)</f>
        <v/>
      </c>
      <c r="F284" s="11" t="str">
        <f aca="false">IF('Grocery Purchases'!B281="","",'Grocery Purchases'!G281)</f>
        <v/>
      </c>
      <c r="G284" s="32" t="str">
        <f aca="false">IF('Grocery Purchases'!B281="","",'Grocery Purchases'!H281)</f>
        <v/>
      </c>
      <c r="H284" s="14" t="str">
        <f aca="false">IF('Grocery Purchases'!B281="","",'Grocery Purchases'!I281)</f>
        <v/>
      </c>
    </row>
    <row r="285" customFormat="false" ht="15" hidden="false" customHeight="true" outlineLevel="0" collapsed="false">
      <c r="A285" s="12" t="str">
        <f aca="false">IF('Grocery Purchases'!B282="","",'Grocery Purchases'!A282)</f>
        <v/>
      </c>
      <c r="B285" s="17" t="str">
        <f aca="false">IF('Grocery Purchases'!B282="","",'Grocery Purchases'!B282)</f>
        <v/>
      </c>
      <c r="C285" s="17" t="str">
        <f aca="false">IF('Grocery Purchases'!B282="","",'Grocery Purchases'!C282)</f>
        <v/>
      </c>
      <c r="D285" s="14" t="str">
        <f aca="false">IF('Grocery Purchases'!B282="","",'Grocery Purchases'!D282)</f>
        <v/>
      </c>
      <c r="E285" s="11" t="str">
        <f aca="false">IF('Grocery Purchases'!B282="","",'Grocery Purchases'!F282)</f>
        <v/>
      </c>
      <c r="F285" s="11" t="str">
        <f aca="false">IF('Grocery Purchases'!B282="","",'Grocery Purchases'!G282)</f>
        <v/>
      </c>
      <c r="G285" s="32" t="str">
        <f aca="false">IF('Grocery Purchases'!B282="","",'Grocery Purchases'!H282)</f>
        <v/>
      </c>
      <c r="H285" s="14" t="str">
        <f aca="false">IF('Grocery Purchases'!B282="","",'Grocery Purchases'!I282)</f>
        <v/>
      </c>
    </row>
    <row r="286" customFormat="false" ht="15" hidden="false" customHeight="true" outlineLevel="0" collapsed="false">
      <c r="A286" s="12" t="str">
        <f aca="false">IF('Grocery Purchases'!B283="","",'Grocery Purchases'!A283)</f>
        <v/>
      </c>
      <c r="B286" s="17" t="str">
        <f aca="false">IF('Grocery Purchases'!B283="","",'Grocery Purchases'!B283)</f>
        <v/>
      </c>
      <c r="C286" s="17" t="str">
        <f aca="false">IF('Grocery Purchases'!B283="","",'Grocery Purchases'!C283)</f>
        <v/>
      </c>
      <c r="D286" s="14" t="str">
        <f aca="false">IF('Grocery Purchases'!B283="","",'Grocery Purchases'!D283)</f>
        <v/>
      </c>
      <c r="E286" s="11" t="str">
        <f aca="false">IF('Grocery Purchases'!B283="","",'Grocery Purchases'!F283)</f>
        <v/>
      </c>
      <c r="F286" s="11" t="str">
        <f aca="false">IF('Grocery Purchases'!B283="","",'Grocery Purchases'!G283)</f>
        <v/>
      </c>
      <c r="G286" s="32" t="str">
        <f aca="false">IF('Grocery Purchases'!B283="","",'Grocery Purchases'!H283)</f>
        <v/>
      </c>
      <c r="H286" s="14" t="str">
        <f aca="false">IF('Grocery Purchases'!B283="","",'Grocery Purchases'!I283)</f>
        <v/>
      </c>
    </row>
    <row r="287" customFormat="false" ht="15" hidden="false" customHeight="true" outlineLevel="0" collapsed="false">
      <c r="A287" s="12" t="str">
        <f aca="false">IF('Grocery Purchases'!B284="","",'Grocery Purchases'!A284)</f>
        <v/>
      </c>
      <c r="B287" s="17" t="str">
        <f aca="false">IF('Grocery Purchases'!B284="","",'Grocery Purchases'!B284)</f>
        <v/>
      </c>
      <c r="C287" s="17" t="str">
        <f aca="false">IF('Grocery Purchases'!B284="","",'Grocery Purchases'!C284)</f>
        <v/>
      </c>
      <c r="D287" s="14" t="str">
        <f aca="false">IF('Grocery Purchases'!B284="","",'Grocery Purchases'!D284)</f>
        <v/>
      </c>
      <c r="E287" s="11" t="str">
        <f aca="false">IF('Grocery Purchases'!B284="","",'Grocery Purchases'!F284)</f>
        <v/>
      </c>
      <c r="F287" s="11" t="str">
        <f aca="false">IF('Grocery Purchases'!B284="","",'Grocery Purchases'!G284)</f>
        <v/>
      </c>
      <c r="G287" s="32" t="str">
        <f aca="false">IF('Grocery Purchases'!B284="","",'Grocery Purchases'!H284)</f>
        <v/>
      </c>
      <c r="H287" s="14" t="str">
        <f aca="false">IF('Grocery Purchases'!B284="","",'Grocery Purchases'!I284)</f>
        <v/>
      </c>
    </row>
    <row r="288" customFormat="false" ht="15" hidden="false" customHeight="true" outlineLevel="0" collapsed="false">
      <c r="A288" s="12" t="str">
        <f aca="false">IF('Grocery Purchases'!B285="","",'Grocery Purchases'!A285)</f>
        <v/>
      </c>
      <c r="B288" s="17" t="str">
        <f aca="false">IF('Grocery Purchases'!B285="","",'Grocery Purchases'!B285)</f>
        <v/>
      </c>
      <c r="C288" s="17" t="str">
        <f aca="false">IF('Grocery Purchases'!B285="","",'Grocery Purchases'!C285)</f>
        <v/>
      </c>
      <c r="D288" s="14" t="str">
        <f aca="false">IF('Grocery Purchases'!B285="","",'Grocery Purchases'!D285)</f>
        <v/>
      </c>
      <c r="E288" s="11" t="str">
        <f aca="false">IF('Grocery Purchases'!B285="","",'Grocery Purchases'!F285)</f>
        <v/>
      </c>
      <c r="F288" s="11" t="str">
        <f aca="false">IF('Grocery Purchases'!B285="","",'Grocery Purchases'!G285)</f>
        <v/>
      </c>
      <c r="G288" s="32" t="str">
        <f aca="false">IF('Grocery Purchases'!B285="","",'Grocery Purchases'!H285)</f>
        <v/>
      </c>
      <c r="H288" s="14" t="str">
        <f aca="false">IF('Grocery Purchases'!B285="","",'Grocery Purchases'!I285)</f>
        <v/>
      </c>
    </row>
    <row r="289" customFormat="false" ht="15" hidden="false" customHeight="true" outlineLevel="0" collapsed="false">
      <c r="A289" s="12" t="str">
        <f aca="false">IF('Grocery Purchases'!B286="","",'Grocery Purchases'!A286)</f>
        <v/>
      </c>
      <c r="B289" s="17" t="str">
        <f aca="false">IF('Grocery Purchases'!B286="","",'Grocery Purchases'!B286)</f>
        <v/>
      </c>
      <c r="C289" s="17" t="str">
        <f aca="false">IF('Grocery Purchases'!B286="","",'Grocery Purchases'!C286)</f>
        <v/>
      </c>
      <c r="D289" s="14" t="str">
        <f aca="false">IF('Grocery Purchases'!B286="","",'Grocery Purchases'!D286)</f>
        <v/>
      </c>
      <c r="E289" s="11" t="str">
        <f aca="false">IF('Grocery Purchases'!B286="","",'Grocery Purchases'!F286)</f>
        <v/>
      </c>
      <c r="F289" s="11" t="str">
        <f aca="false">IF('Grocery Purchases'!B286="","",'Grocery Purchases'!G286)</f>
        <v/>
      </c>
      <c r="G289" s="32" t="str">
        <f aca="false">IF('Grocery Purchases'!B286="","",'Grocery Purchases'!H286)</f>
        <v/>
      </c>
      <c r="H289" s="14" t="str">
        <f aca="false">IF('Grocery Purchases'!B286="","",'Grocery Purchases'!I286)</f>
        <v/>
      </c>
    </row>
    <row r="290" customFormat="false" ht="15" hidden="false" customHeight="true" outlineLevel="0" collapsed="false">
      <c r="A290" s="12" t="str">
        <f aca="false">IF('Grocery Purchases'!B287="","",'Grocery Purchases'!A287)</f>
        <v/>
      </c>
      <c r="B290" s="17" t="str">
        <f aca="false">IF('Grocery Purchases'!B287="","",'Grocery Purchases'!B287)</f>
        <v/>
      </c>
      <c r="C290" s="17" t="str">
        <f aca="false">IF('Grocery Purchases'!B287="","",'Grocery Purchases'!C287)</f>
        <v/>
      </c>
      <c r="D290" s="14" t="str">
        <f aca="false">IF('Grocery Purchases'!B287="","",'Grocery Purchases'!D287)</f>
        <v/>
      </c>
      <c r="E290" s="11" t="str">
        <f aca="false">IF('Grocery Purchases'!B287="","",'Grocery Purchases'!F287)</f>
        <v/>
      </c>
      <c r="F290" s="11" t="str">
        <f aca="false">IF('Grocery Purchases'!B287="","",'Grocery Purchases'!G287)</f>
        <v/>
      </c>
      <c r="G290" s="32" t="str">
        <f aca="false">IF('Grocery Purchases'!B287="","",'Grocery Purchases'!H287)</f>
        <v/>
      </c>
      <c r="H290" s="14" t="str">
        <f aca="false">IF('Grocery Purchases'!B287="","",'Grocery Purchases'!I287)</f>
        <v/>
      </c>
    </row>
    <row r="291" customFormat="false" ht="15" hidden="false" customHeight="true" outlineLevel="0" collapsed="false">
      <c r="A291" s="12" t="str">
        <f aca="false">IF('Grocery Purchases'!B288="","",'Grocery Purchases'!A288)</f>
        <v/>
      </c>
      <c r="B291" s="17" t="str">
        <f aca="false">IF('Grocery Purchases'!B288="","",'Grocery Purchases'!B288)</f>
        <v/>
      </c>
      <c r="C291" s="17" t="str">
        <f aca="false">IF('Grocery Purchases'!B288="","",'Grocery Purchases'!C288)</f>
        <v/>
      </c>
      <c r="D291" s="14" t="str">
        <f aca="false">IF('Grocery Purchases'!B288="","",'Grocery Purchases'!D288)</f>
        <v/>
      </c>
      <c r="E291" s="11" t="str">
        <f aca="false">IF('Grocery Purchases'!B288="","",'Grocery Purchases'!F288)</f>
        <v/>
      </c>
      <c r="F291" s="11" t="str">
        <f aca="false">IF('Grocery Purchases'!B288="","",'Grocery Purchases'!G288)</f>
        <v/>
      </c>
      <c r="G291" s="32" t="str">
        <f aca="false">IF('Grocery Purchases'!B288="","",'Grocery Purchases'!H288)</f>
        <v/>
      </c>
      <c r="H291" s="14" t="str">
        <f aca="false">IF('Grocery Purchases'!B288="","",'Grocery Purchases'!I288)</f>
        <v/>
      </c>
    </row>
    <row r="292" customFormat="false" ht="15" hidden="false" customHeight="true" outlineLevel="0" collapsed="false">
      <c r="A292" s="12" t="str">
        <f aca="false">IF('Grocery Purchases'!B289="","",'Grocery Purchases'!A289)</f>
        <v/>
      </c>
      <c r="B292" s="17" t="str">
        <f aca="false">IF('Grocery Purchases'!B289="","",'Grocery Purchases'!B289)</f>
        <v/>
      </c>
      <c r="C292" s="17" t="str">
        <f aca="false">IF('Grocery Purchases'!B289="","",'Grocery Purchases'!C289)</f>
        <v/>
      </c>
      <c r="D292" s="14" t="str">
        <f aca="false">IF('Grocery Purchases'!B289="","",'Grocery Purchases'!D289)</f>
        <v/>
      </c>
      <c r="E292" s="11" t="str">
        <f aca="false">IF('Grocery Purchases'!B289="","",'Grocery Purchases'!F289)</f>
        <v/>
      </c>
      <c r="F292" s="11" t="str">
        <f aca="false">IF('Grocery Purchases'!B289="","",'Grocery Purchases'!G289)</f>
        <v/>
      </c>
      <c r="G292" s="32" t="str">
        <f aca="false">IF('Grocery Purchases'!B289="","",'Grocery Purchases'!H289)</f>
        <v/>
      </c>
      <c r="H292" s="14" t="str">
        <f aca="false">IF('Grocery Purchases'!B289="","",'Grocery Purchases'!I289)</f>
        <v/>
      </c>
    </row>
    <row r="293" customFormat="false" ht="15" hidden="false" customHeight="true" outlineLevel="0" collapsed="false">
      <c r="A293" s="12" t="str">
        <f aca="false">IF('Grocery Purchases'!B290="","",'Grocery Purchases'!A290)</f>
        <v/>
      </c>
      <c r="B293" s="17" t="str">
        <f aca="false">IF('Grocery Purchases'!B290="","",'Grocery Purchases'!B290)</f>
        <v/>
      </c>
      <c r="C293" s="17" t="str">
        <f aca="false">IF('Grocery Purchases'!B290="","",'Grocery Purchases'!C290)</f>
        <v/>
      </c>
      <c r="D293" s="14" t="str">
        <f aca="false">IF('Grocery Purchases'!B290="","",'Grocery Purchases'!D290)</f>
        <v/>
      </c>
      <c r="E293" s="11" t="str">
        <f aca="false">IF('Grocery Purchases'!B290="","",'Grocery Purchases'!F290)</f>
        <v/>
      </c>
      <c r="F293" s="11" t="str">
        <f aca="false">IF('Grocery Purchases'!B290="","",'Grocery Purchases'!G290)</f>
        <v/>
      </c>
      <c r="G293" s="32" t="str">
        <f aca="false">IF('Grocery Purchases'!B290="","",'Grocery Purchases'!H290)</f>
        <v/>
      </c>
      <c r="H293" s="14" t="str">
        <f aca="false">IF('Grocery Purchases'!B290="","",'Grocery Purchases'!I290)</f>
        <v/>
      </c>
    </row>
    <row r="294" customFormat="false" ht="15" hidden="false" customHeight="true" outlineLevel="0" collapsed="false">
      <c r="A294" s="12" t="str">
        <f aca="false">IF('Grocery Purchases'!B291="","",'Grocery Purchases'!A291)</f>
        <v/>
      </c>
      <c r="B294" s="17" t="str">
        <f aca="false">IF('Grocery Purchases'!B291="","",'Grocery Purchases'!B291)</f>
        <v/>
      </c>
      <c r="C294" s="17" t="str">
        <f aca="false">IF('Grocery Purchases'!B291="","",'Grocery Purchases'!C291)</f>
        <v/>
      </c>
      <c r="D294" s="14" t="str">
        <f aca="false">IF('Grocery Purchases'!B291="","",'Grocery Purchases'!D291)</f>
        <v/>
      </c>
      <c r="E294" s="11" t="str">
        <f aca="false">IF('Grocery Purchases'!B291="","",'Grocery Purchases'!F291)</f>
        <v/>
      </c>
      <c r="F294" s="11" t="str">
        <f aca="false">IF('Grocery Purchases'!B291="","",'Grocery Purchases'!G291)</f>
        <v/>
      </c>
      <c r="G294" s="32" t="str">
        <f aca="false">IF('Grocery Purchases'!B291="","",'Grocery Purchases'!H291)</f>
        <v/>
      </c>
      <c r="H294" s="14" t="str">
        <f aca="false">IF('Grocery Purchases'!B291="","",'Grocery Purchases'!I291)</f>
        <v/>
      </c>
    </row>
    <row r="295" customFormat="false" ht="15" hidden="false" customHeight="true" outlineLevel="0" collapsed="false">
      <c r="A295" s="12" t="str">
        <f aca="false">IF('Grocery Purchases'!B292="","",'Grocery Purchases'!A292)</f>
        <v/>
      </c>
      <c r="B295" s="17" t="str">
        <f aca="false">IF('Grocery Purchases'!B292="","",'Grocery Purchases'!B292)</f>
        <v/>
      </c>
      <c r="C295" s="17" t="str">
        <f aca="false">IF('Grocery Purchases'!B292="","",'Grocery Purchases'!C292)</f>
        <v/>
      </c>
      <c r="D295" s="14" t="str">
        <f aca="false">IF('Grocery Purchases'!B292="","",'Grocery Purchases'!D292)</f>
        <v/>
      </c>
      <c r="E295" s="11" t="str">
        <f aca="false">IF('Grocery Purchases'!B292="","",'Grocery Purchases'!F292)</f>
        <v/>
      </c>
      <c r="F295" s="11" t="str">
        <f aca="false">IF('Grocery Purchases'!B292="","",'Grocery Purchases'!G292)</f>
        <v/>
      </c>
      <c r="G295" s="32" t="str">
        <f aca="false">IF('Grocery Purchases'!B292="","",'Grocery Purchases'!H292)</f>
        <v/>
      </c>
      <c r="H295" s="14" t="str">
        <f aca="false">IF('Grocery Purchases'!B292="","",'Grocery Purchases'!I292)</f>
        <v/>
      </c>
    </row>
    <row r="296" customFormat="false" ht="15" hidden="false" customHeight="true" outlineLevel="0" collapsed="false">
      <c r="A296" s="12" t="str">
        <f aca="false">IF('Grocery Purchases'!B293="","",'Grocery Purchases'!A293)</f>
        <v/>
      </c>
      <c r="B296" s="17" t="str">
        <f aca="false">IF('Grocery Purchases'!B293="","",'Grocery Purchases'!B293)</f>
        <v/>
      </c>
      <c r="C296" s="17" t="str">
        <f aca="false">IF('Grocery Purchases'!B293="","",'Grocery Purchases'!C293)</f>
        <v/>
      </c>
      <c r="D296" s="14" t="str">
        <f aca="false">IF('Grocery Purchases'!B293="","",'Grocery Purchases'!D293)</f>
        <v/>
      </c>
      <c r="E296" s="11" t="str">
        <f aca="false">IF('Grocery Purchases'!B293="","",'Grocery Purchases'!F293)</f>
        <v/>
      </c>
      <c r="F296" s="11" t="str">
        <f aca="false">IF('Grocery Purchases'!B293="","",'Grocery Purchases'!G293)</f>
        <v/>
      </c>
      <c r="G296" s="32" t="str">
        <f aca="false">IF('Grocery Purchases'!B293="","",'Grocery Purchases'!H293)</f>
        <v/>
      </c>
      <c r="H296" s="14" t="str">
        <f aca="false">IF('Grocery Purchases'!B293="","",'Grocery Purchases'!I293)</f>
        <v/>
      </c>
    </row>
    <row r="297" customFormat="false" ht="15" hidden="false" customHeight="true" outlineLevel="0" collapsed="false">
      <c r="A297" s="12" t="str">
        <f aca="false">IF('Grocery Purchases'!B294="","",'Grocery Purchases'!A294)</f>
        <v/>
      </c>
      <c r="B297" s="17" t="str">
        <f aca="false">IF('Grocery Purchases'!B294="","",'Grocery Purchases'!B294)</f>
        <v/>
      </c>
      <c r="C297" s="17" t="str">
        <f aca="false">IF('Grocery Purchases'!B294="","",'Grocery Purchases'!C294)</f>
        <v/>
      </c>
      <c r="D297" s="14" t="str">
        <f aca="false">IF('Grocery Purchases'!B294="","",'Grocery Purchases'!D294)</f>
        <v/>
      </c>
      <c r="E297" s="11" t="str">
        <f aca="false">IF('Grocery Purchases'!B294="","",'Grocery Purchases'!F294)</f>
        <v/>
      </c>
      <c r="F297" s="11" t="str">
        <f aca="false">IF('Grocery Purchases'!B294="","",'Grocery Purchases'!G294)</f>
        <v/>
      </c>
      <c r="G297" s="32" t="str">
        <f aca="false">IF('Grocery Purchases'!B294="","",'Grocery Purchases'!H294)</f>
        <v/>
      </c>
      <c r="H297" s="14" t="str">
        <f aca="false">IF('Grocery Purchases'!B294="","",'Grocery Purchases'!I294)</f>
        <v/>
      </c>
    </row>
    <row r="298" customFormat="false" ht="15" hidden="false" customHeight="true" outlineLevel="0" collapsed="false">
      <c r="A298" s="12" t="str">
        <f aca="false">IF('Grocery Purchases'!B295="","",'Grocery Purchases'!A295)</f>
        <v/>
      </c>
      <c r="B298" s="17" t="str">
        <f aca="false">IF('Grocery Purchases'!B295="","",'Grocery Purchases'!B295)</f>
        <v/>
      </c>
      <c r="C298" s="17" t="str">
        <f aca="false">IF('Grocery Purchases'!B295="","",'Grocery Purchases'!C295)</f>
        <v/>
      </c>
      <c r="D298" s="14" t="str">
        <f aca="false">IF('Grocery Purchases'!B295="","",'Grocery Purchases'!D295)</f>
        <v/>
      </c>
      <c r="E298" s="11" t="str">
        <f aca="false">IF('Grocery Purchases'!B295="","",'Grocery Purchases'!F295)</f>
        <v/>
      </c>
      <c r="F298" s="11" t="str">
        <f aca="false">IF('Grocery Purchases'!B295="","",'Grocery Purchases'!G295)</f>
        <v/>
      </c>
      <c r="G298" s="32" t="str">
        <f aca="false">IF('Grocery Purchases'!B295="","",'Grocery Purchases'!H295)</f>
        <v/>
      </c>
      <c r="H298" s="14" t="str">
        <f aca="false">IF('Grocery Purchases'!B295="","",'Grocery Purchases'!I295)</f>
        <v/>
      </c>
    </row>
    <row r="299" customFormat="false" ht="15" hidden="false" customHeight="true" outlineLevel="0" collapsed="false">
      <c r="A299" s="12" t="str">
        <f aca="false">IF('Grocery Purchases'!B296="","",'Grocery Purchases'!A296)</f>
        <v/>
      </c>
      <c r="B299" s="17" t="str">
        <f aca="false">IF('Grocery Purchases'!B296="","",'Grocery Purchases'!B296)</f>
        <v/>
      </c>
      <c r="C299" s="17" t="str">
        <f aca="false">IF('Grocery Purchases'!B296="","",'Grocery Purchases'!C296)</f>
        <v/>
      </c>
      <c r="D299" s="14" t="str">
        <f aca="false">IF('Grocery Purchases'!B296="","",'Grocery Purchases'!D296)</f>
        <v/>
      </c>
      <c r="E299" s="11" t="str">
        <f aca="false">IF('Grocery Purchases'!B296="","",'Grocery Purchases'!F296)</f>
        <v/>
      </c>
      <c r="F299" s="11" t="str">
        <f aca="false">IF('Grocery Purchases'!B296="","",'Grocery Purchases'!G296)</f>
        <v/>
      </c>
      <c r="G299" s="32" t="str">
        <f aca="false">IF('Grocery Purchases'!B296="","",'Grocery Purchases'!H296)</f>
        <v/>
      </c>
      <c r="H299" s="14" t="str">
        <f aca="false">IF('Grocery Purchases'!B296="","",'Grocery Purchases'!I296)</f>
        <v/>
      </c>
    </row>
    <row r="300" customFormat="false" ht="15" hidden="false" customHeight="true" outlineLevel="0" collapsed="false">
      <c r="A300" s="12" t="str">
        <f aca="false">IF('Grocery Purchases'!B297="","",'Grocery Purchases'!A297)</f>
        <v/>
      </c>
      <c r="B300" s="17" t="str">
        <f aca="false">IF('Grocery Purchases'!B297="","",'Grocery Purchases'!B297)</f>
        <v/>
      </c>
      <c r="C300" s="17" t="str">
        <f aca="false">IF('Grocery Purchases'!B297="","",'Grocery Purchases'!C297)</f>
        <v/>
      </c>
      <c r="D300" s="14" t="str">
        <f aca="false">IF('Grocery Purchases'!B297="","",'Grocery Purchases'!D297)</f>
        <v/>
      </c>
      <c r="E300" s="11" t="str">
        <f aca="false">IF('Grocery Purchases'!B297="","",'Grocery Purchases'!F297)</f>
        <v/>
      </c>
      <c r="F300" s="11" t="str">
        <f aca="false">IF('Grocery Purchases'!B297="","",'Grocery Purchases'!G297)</f>
        <v/>
      </c>
      <c r="G300" s="32" t="str">
        <f aca="false">IF('Grocery Purchases'!B297="","",'Grocery Purchases'!H297)</f>
        <v/>
      </c>
      <c r="H300" s="14" t="str">
        <f aca="false">IF('Grocery Purchases'!B297="","",'Grocery Purchases'!I297)</f>
        <v/>
      </c>
    </row>
    <row r="301" customFormat="false" ht="15" hidden="false" customHeight="true" outlineLevel="0" collapsed="false">
      <c r="A301" s="12" t="str">
        <f aca="false">IF('Grocery Purchases'!B298="","",'Grocery Purchases'!A298)</f>
        <v/>
      </c>
      <c r="B301" s="17" t="str">
        <f aca="false">IF('Grocery Purchases'!B298="","",'Grocery Purchases'!B298)</f>
        <v/>
      </c>
      <c r="C301" s="17" t="str">
        <f aca="false">IF('Grocery Purchases'!B298="","",'Grocery Purchases'!C298)</f>
        <v/>
      </c>
      <c r="D301" s="14" t="str">
        <f aca="false">IF('Grocery Purchases'!B298="","",'Grocery Purchases'!D298)</f>
        <v/>
      </c>
      <c r="E301" s="11" t="str">
        <f aca="false">IF('Grocery Purchases'!B298="","",'Grocery Purchases'!F298)</f>
        <v/>
      </c>
      <c r="F301" s="11" t="str">
        <f aca="false">IF('Grocery Purchases'!B298="","",'Grocery Purchases'!G298)</f>
        <v/>
      </c>
      <c r="G301" s="32" t="str">
        <f aca="false">IF('Grocery Purchases'!B298="","",'Grocery Purchases'!H298)</f>
        <v/>
      </c>
      <c r="H301" s="14" t="str">
        <f aca="false">IF('Grocery Purchases'!B298="","",'Grocery Purchases'!I298)</f>
        <v/>
      </c>
    </row>
    <row r="302" customFormat="false" ht="15" hidden="false" customHeight="true" outlineLevel="0" collapsed="false">
      <c r="A302" s="12" t="str">
        <f aca="false">IF('Grocery Purchases'!B299="","",'Grocery Purchases'!A299)</f>
        <v/>
      </c>
      <c r="B302" s="17" t="str">
        <f aca="false">IF('Grocery Purchases'!B299="","",'Grocery Purchases'!B299)</f>
        <v/>
      </c>
      <c r="C302" s="17" t="str">
        <f aca="false">IF('Grocery Purchases'!B299="","",'Grocery Purchases'!C299)</f>
        <v/>
      </c>
      <c r="D302" s="14" t="str">
        <f aca="false">IF('Grocery Purchases'!B299="","",'Grocery Purchases'!D299)</f>
        <v/>
      </c>
      <c r="E302" s="11" t="str">
        <f aca="false">IF('Grocery Purchases'!B299="","",'Grocery Purchases'!F299)</f>
        <v/>
      </c>
      <c r="F302" s="11" t="str">
        <f aca="false">IF('Grocery Purchases'!B299="","",'Grocery Purchases'!G299)</f>
        <v/>
      </c>
      <c r="G302" s="32" t="str">
        <f aca="false">IF('Grocery Purchases'!B299="","",'Grocery Purchases'!H299)</f>
        <v/>
      </c>
      <c r="H302" s="14" t="str">
        <f aca="false">IF('Grocery Purchases'!B299="","",'Grocery Purchases'!I299)</f>
        <v/>
      </c>
    </row>
    <row r="303" customFormat="false" ht="15" hidden="false" customHeight="true" outlineLevel="0" collapsed="false">
      <c r="A303" s="12" t="str">
        <f aca="false">IF('Grocery Purchases'!B300="","",'Grocery Purchases'!A300)</f>
        <v/>
      </c>
      <c r="B303" s="17" t="str">
        <f aca="false">IF('Grocery Purchases'!B300="","",'Grocery Purchases'!B300)</f>
        <v/>
      </c>
      <c r="C303" s="17" t="str">
        <f aca="false">IF('Grocery Purchases'!B300="","",'Grocery Purchases'!C300)</f>
        <v/>
      </c>
      <c r="D303" s="14" t="str">
        <f aca="false">IF('Grocery Purchases'!B300="","",'Grocery Purchases'!D300)</f>
        <v/>
      </c>
      <c r="E303" s="11" t="str">
        <f aca="false">IF('Grocery Purchases'!B300="","",'Grocery Purchases'!F300)</f>
        <v/>
      </c>
      <c r="F303" s="11" t="str">
        <f aca="false">IF('Grocery Purchases'!B300="","",'Grocery Purchases'!G300)</f>
        <v/>
      </c>
      <c r="G303" s="32" t="str">
        <f aca="false">IF('Grocery Purchases'!B300="","",'Grocery Purchases'!H300)</f>
        <v/>
      </c>
      <c r="H303" s="14" t="str">
        <f aca="false">IF('Grocery Purchases'!B300="","",'Grocery Purchases'!I300)</f>
        <v/>
      </c>
    </row>
    <row r="304" customFormat="false" ht="15" hidden="false" customHeight="true" outlineLevel="0" collapsed="false">
      <c r="A304" s="12" t="str">
        <f aca="false">IF('Grocery Purchases'!B301="","",'Grocery Purchases'!A301)</f>
        <v/>
      </c>
      <c r="B304" s="17" t="str">
        <f aca="false">IF('Grocery Purchases'!B301="","",'Grocery Purchases'!B301)</f>
        <v/>
      </c>
      <c r="C304" s="17" t="str">
        <f aca="false">IF('Grocery Purchases'!B301="","",'Grocery Purchases'!C301)</f>
        <v/>
      </c>
      <c r="D304" s="14" t="str">
        <f aca="false">IF('Grocery Purchases'!B301="","",'Grocery Purchases'!D301)</f>
        <v/>
      </c>
      <c r="E304" s="11" t="str">
        <f aca="false">IF('Grocery Purchases'!B301="","",'Grocery Purchases'!F301)</f>
        <v/>
      </c>
      <c r="F304" s="11" t="str">
        <f aca="false">IF('Grocery Purchases'!B301="","",'Grocery Purchases'!G301)</f>
        <v/>
      </c>
      <c r="G304" s="32" t="str">
        <f aca="false">IF('Grocery Purchases'!B301="","",'Grocery Purchases'!H301)</f>
        <v/>
      </c>
      <c r="H304" s="14" t="str">
        <f aca="false">IF('Grocery Purchases'!B301="","",'Grocery Purchases'!I301)</f>
        <v/>
      </c>
    </row>
    <row r="305" customFormat="false" ht="15" hidden="false" customHeight="true" outlineLevel="0" collapsed="false">
      <c r="A305" s="12" t="str">
        <f aca="false">IF('Grocery Purchases'!B302="","",'Grocery Purchases'!A302)</f>
        <v/>
      </c>
      <c r="B305" s="17" t="str">
        <f aca="false">IF('Grocery Purchases'!B302="","",'Grocery Purchases'!B302)</f>
        <v/>
      </c>
      <c r="C305" s="17" t="str">
        <f aca="false">IF('Grocery Purchases'!B302="","",'Grocery Purchases'!C302)</f>
        <v/>
      </c>
      <c r="D305" s="14" t="str">
        <f aca="false">IF('Grocery Purchases'!B302="","",'Grocery Purchases'!D302)</f>
        <v/>
      </c>
      <c r="E305" s="11" t="str">
        <f aca="false">IF('Grocery Purchases'!B302="","",'Grocery Purchases'!F302)</f>
        <v/>
      </c>
      <c r="F305" s="11" t="str">
        <f aca="false">IF('Grocery Purchases'!B302="","",'Grocery Purchases'!G302)</f>
        <v/>
      </c>
      <c r="G305" s="32" t="str">
        <f aca="false">IF('Grocery Purchases'!B302="","",'Grocery Purchases'!H302)</f>
        <v/>
      </c>
      <c r="H305" s="14" t="str">
        <f aca="false">IF('Grocery Purchases'!B302="","",'Grocery Purchases'!I302)</f>
        <v/>
      </c>
    </row>
    <row r="306" customFormat="false" ht="15" hidden="false" customHeight="true" outlineLevel="0" collapsed="false">
      <c r="A306" s="12" t="str">
        <f aca="false">IF('Grocery Purchases'!B303="","",'Grocery Purchases'!A303)</f>
        <v/>
      </c>
      <c r="B306" s="17" t="str">
        <f aca="false">IF('Grocery Purchases'!B303="","",'Grocery Purchases'!B303)</f>
        <v/>
      </c>
      <c r="C306" s="17" t="str">
        <f aca="false">IF('Grocery Purchases'!B303="","",'Grocery Purchases'!C303)</f>
        <v/>
      </c>
      <c r="D306" s="14" t="str">
        <f aca="false">IF('Grocery Purchases'!B303="","",'Grocery Purchases'!D303)</f>
        <v/>
      </c>
      <c r="E306" s="11" t="str">
        <f aca="false">IF('Grocery Purchases'!B303="","",'Grocery Purchases'!F303)</f>
        <v/>
      </c>
      <c r="F306" s="11" t="str">
        <f aca="false">IF('Grocery Purchases'!B303="","",'Grocery Purchases'!G303)</f>
        <v/>
      </c>
      <c r="G306" s="32" t="str">
        <f aca="false">IF('Grocery Purchases'!B303="","",'Grocery Purchases'!H303)</f>
        <v/>
      </c>
      <c r="H306" s="14" t="str">
        <f aca="false">IF('Grocery Purchases'!B303="","",'Grocery Purchases'!I303)</f>
        <v/>
      </c>
    </row>
    <row r="307" customFormat="false" ht="15" hidden="false" customHeight="true" outlineLevel="0" collapsed="false">
      <c r="A307" s="12" t="str">
        <f aca="false">IF('Grocery Purchases'!B304="","",'Grocery Purchases'!A304)</f>
        <v/>
      </c>
      <c r="B307" s="17" t="str">
        <f aca="false">IF('Grocery Purchases'!B304="","",'Grocery Purchases'!B304)</f>
        <v/>
      </c>
      <c r="C307" s="17" t="str">
        <f aca="false">IF('Grocery Purchases'!B304="","",'Grocery Purchases'!C304)</f>
        <v/>
      </c>
      <c r="D307" s="14" t="str">
        <f aca="false">IF('Grocery Purchases'!B304="","",'Grocery Purchases'!D304)</f>
        <v/>
      </c>
      <c r="E307" s="11" t="str">
        <f aca="false">IF('Grocery Purchases'!B304="","",'Grocery Purchases'!F304)</f>
        <v/>
      </c>
      <c r="F307" s="11" t="str">
        <f aca="false">IF('Grocery Purchases'!B304="","",'Grocery Purchases'!G304)</f>
        <v/>
      </c>
      <c r="G307" s="32" t="str">
        <f aca="false">IF('Grocery Purchases'!B304="","",'Grocery Purchases'!H304)</f>
        <v/>
      </c>
      <c r="H307" s="14" t="str">
        <f aca="false">IF('Grocery Purchases'!B304="","",'Grocery Purchases'!I304)</f>
        <v/>
      </c>
    </row>
    <row r="308" customFormat="false" ht="15" hidden="false" customHeight="true" outlineLevel="0" collapsed="false">
      <c r="A308" s="12" t="str">
        <f aca="false">IF('Grocery Purchases'!B305="","",'Grocery Purchases'!A305)</f>
        <v/>
      </c>
      <c r="B308" s="17" t="str">
        <f aca="false">IF('Grocery Purchases'!B305="","",'Grocery Purchases'!B305)</f>
        <v/>
      </c>
      <c r="C308" s="17" t="str">
        <f aca="false">IF('Grocery Purchases'!B305="","",'Grocery Purchases'!C305)</f>
        <v/>
      </c>
      <c r="D308" s="14" t="str">
        <f aca="false">IF('Grocery Purchases'!B305="","",'Grocery Purchases'!D305)</f>
        <v/>
      </c>
      <c r="E308" s="11" t="str">
        <f aca="false">IF('Grocery Purchases'!B305="","",'Grocery Purchases'!F305)</f>
        <v/>
      </c>
      <c r="F308" s="11" t="str">
        <f aca="false">IF('Grocery Purchases'!B305="","",'Grocery Purchases'!G305)</f>
        <v/>
      </c>
      <c r="G308" s="32" t="str">
        <f aca="false">IF('Grocery Purchases'!B305="","",'Grocery Purchases'!H305)</f>
        <v/>
      </c>
      <c r="H308" s="14" t="str">
        <f aca="false">IF('Grocery Purchases'!B305="","",'Grocery Purchases'!I305)</f>
        <v/>
      </c>
    </row>
    <row r="309" customFormat="false" ht="15" hidden="false" customHeight="true" outlineLevel="0" collapsed="false">
      <c r="A309" s="12" t="str">
        <f aca="false">IF('Grocery Purchases'!B306="","",'Grocery Purchases'!A306)</f>
        <v/>
      </c>
      <c r="B309" s="17" t="str">
        <f aca="false">IF('Grocery Purchases'!B306="","",'Grocery Purchases'!B306)</f>
        <v/>
      </c>
      <c r="C309" s="17" t="str">
        <f aca="false">IF('Grocery Purchases'!B306="","",'Grocery Purchases'!C306)</f>
        <v/>
      </c>
      <c r="D309" s="14" t="str">
        <f aca="false">IF('Grocery Purchases'!B306="","",'Grocery Purchases'!D306)</f>
        <v/>
      </c>
      <c r="E309" s="11" t="str">
        <f aca="false">IF('Grocery Purchases'!B306="","",'Grocery Purchases'!F306)</f>
        <v/>
      </c>
      <c r="F309" s="11" t="str">
        <f aca="false">IF('Grocery Purchases'!B306="","",'Grocery Purchases'!G306)</f>
        <v/>
      </c>
      <c r="G309" s="32" t="str">
        <f aca="false">IF('Grocery Purchases'!B306="","",'Grocery Purchases'!H306)</f>
        <v/>
      </c>
      <c r="H309" s="14" t="str">
        <f aca="false">IF('Grocery Purchases'!B306="","",'Grocery Purchases'!I306)</f>
        <v/>
      </c>
    </row>
    <row r="310" customFormat="false" ht="15" hidden="false" customHeight="true" outlineLevel="0" collapsed="false">
      <c r="A310" s="12" t="str">
        <f aca="false">IF('Grocery Purchases'!B307="","",'Grocery Purchases'!A307)</f>
        <v/>
      </c>
      <c r="B310" s="17" t="str">
        <f aca="false">IF('Grocery Purchases'!B307="","",'Grocery Purchases'!B307)</f>
        <v/>
      </c>
      <c r="C310" s="17" t="str">
        <f aca="false">IF('Grocery Purchases'!B307="","",'Grocery Purchases'!C307)</f>
        <v/>
      </c>
      <c r="D310" s="14" t="str">
        <f aca="false">IF('Grocery Purchases'!B307="","",'Grocery Purchases'!D307)</f>
        <v/>
      </c>
      <c r="E310" s="11" t="str">
        <f aca="false">IF('Grocery Purchases'!B307="","",'Grocery Purchases'!F307)</f>
        <v/>
      </c>
      <c r="F310" s="11" t="str">
        <f aca="false">IF('Grocery Purchases'!B307="","",'Grocery Purchases'!G307)</f>
        <v/>
      </c>
      <c r="G310" s="32" t="str">
        <f aca="false">IF('Grocery Purchases'!B307="","",'Grocery Purchases'!H307)</f>
        <v/>
      </c>
      <c r="H310" s="14" t="str">
        <f aca="false">IF('Grocery Purchases'!B307="","",'Grocery Purchases'!I307)</f>
        <v/>
      </c>
    </row>
    <row r="311" customFormat="false" ht="15" hidden="false" customHeight="true" outlineLevel="0" collapsed="false">
      <c r="A311" s="12" t="str">
        <f aca="false">IF('Grocery Purchases'!B308="","",'Grocery Purchases'!A308)</f>
        <v/>
      </c>
      <c r="B311" s="17" t="str">
        <f aca="false">IF('Grocery Purchases'!B308="","",'Grocery Purchases'!B308)</f>
        <v/>
      </c>
      <c r="C311" s="17" t="str">
        <f aca="false">IF('Grocery Purchases'!B308="","",'Grocery Purchases'!C308)</f>
        <v/>
      </c>
      <c r="D311" s="14" t="str">
        <f aca="false">IF('Grocery Purchases'!B308="","",'Grocery Purchases'!D308)</f>
        <v/>
      </c>
      <c r="E311" s="11" t="str">
        <f aca="false">IF('Grocery Purchases'!B308="","",'Grocery Purchases'!F308)</f>
        <v/>
      </c>
      <c r="F311" s="11" t="str">
        <f aca="false">IF('Grocery Purchases'!B308="","",'Grocery Purchases'!G308)</f>
        <v/>
      </c>
      <c r="G311" s="32" t="str">
        <f aca="false">IF('Grocery Purchases'!B308="","",'Grocery Purchases'!H308)</f>
        <v/>
      </c>
      <c r="H311" s="14" t="str">
        <f aca="false">IF('Grocery Purchases'!B308="","",'Grocery Purchases'!I308)</f>
        <v/>
      </c>
    </row>
    <row r="312" customFormat="false" ht="15" hidden="false" customHeight="true" outlineLevel="0" collapsed="false">
      <c r="A312" s="12" t="str">
        <f aca="false">IF('Grocery Purchases'!B309="","",'Grocery Purchases'!A309)</f>
        <v/>
      </c>
      <c r="B312" s="17" t="str">
        <f aca="false">IF('Grocery Purchases'!B309="","",'Grocery Purchases'!B309)</f>
        <v/>
      </c>
      <c r="C312" s="17" t="str">
        <f aca="false">IF('Grocery Purchases'!B309="","",'Grocery Purchases'!C309)</f>
        <v/>
      </c>
      <c r="D312" s="14" t="str">
        <f aca="false">IF('Grocery Purchases'!B309="","",'Grocery Purchases'!D309)</f>
        <v/>
      </c>
      <c r="E312" s="11" t="str">
        <f aca="false">IF('Grocery Purchases'!B309="","",'Grocery Purchases'!F309)</f>
        <v/>
      </c>
      <c r="F312" s="11" t="str">
        <f aca="false">IF('Grocery Purchases'!B309="","",'Grocery Purchases'!G309)</f>
        <v/>
      </c>
      <c r="G312" s="32" t="str">
        <f aca="false">IF('Grocery Purchases'!B309="","",'Grocery Purchases'!H309)</f>
        <v/>
      </c>
      <c r="H312" s="14" t="str">
        <f aca="false">IF('Grocery Purchases'!B309="","",'Grocery Purchases'!I309)</f>
        <v/>
      </c>
    </row>
    <row r="313" customFormat="false" ht="15" hidden="false" customHeight="true" outlineLevel="0" collapsed="false">
      <c r="A313" s="12" t="str">
        <f aca="false">IF('Grocery Purchases'!B310="","",'Grocery Purchases'!A310)</f>
        <v/>
      </c>
      <c r="B313" s="17" t="str">
        <f aca="false">IF('Grocery Purchases'!B310="","",'Grocery Purchases'!B310)</f>
        <v/>
      </c>
      <c r="C313" s="17" t="str">
        <f aca="false">IF('Grocery Purchases'!B310="","",'Grocery Purchases'!C310)</f>
        <v/>
      </c>
      <c r="D313" s="14" t="str">
        <f aca="false">IF('Grocery Purchases'!B310="","",'Grocery Purchases'!D310)</f>
        <v/>
      </c>
      <c r="E313" s="11" t="str">
        <f aca="false">IF('Grocery Purchases'!B310="","",'Grocery Purchases'!F310)</f>
        <v/>
      </c>
      <c r="F313" s="11" t="str">
        <f aca="false">IF('Grocery Purchases'!B310="","",'Grocery Purchases'!G310)</f>
        <v/>
      </c>
      <c r="G313" s="32" t="str">
        <f aca="false">IF('Grocery Purchases'!B310="","",'Grocery Purchases'!H310)</f>
        <v/>
      </c>
      <c r="H313" s="14" t="str">
        <f aca="false">IF('Grocery Purchases'!B310="","",'Grocery Purchases'!I310)</f>
        <v/>
      </c>
    </row>
    <row r="314" customFormat="false" ht="15" hidden="false" customHeight="true" outlineLevel="0" collapsed="false">
      <c r="A314" s="12" t="str">
        <f aca="false">IF('Grocery Purchases'!B311="","",'Grocery Purchases'!A311)</f>
        <v/>
      </c>
      <c r="B314" s="17" t="str">
        <f aca="false">IF('Grocery Purchases'!B311="","",'Grocery Purchases'!B311)</f>
        <v/>
      </c>
      <c r="C314" s="17" t="str">
        <f aca="false">IF('Grocery Purchases'!B311="","",'Grocery Purchases'!C311)</f>
        <v/>
      </c>
      <c r="D314" s="14" t="str">
        <f aca="false">IF('Grocery Purchases'!B311="","",'Grocery Purchases'!D311)</f>
        <v/>
      </c>
      <c r="E314" s="11" t="str">
        <f aca="false">IF('Grocery Purchases'!B311="","",'Grocery Purchases'!F311)</f>
        <v/>
      </c>
      <c r="F314" s="11" t="str">
        <f aca="false">IF('Grocery Purchases'!B311="","",'Grocery Purchases'!G311)</f>
        <v/>
      </c>
      <c r="G314" s="32" t="str">
        <f aca="false">IF('Grocery Purchases'!B311="","",'Grocery Purchases'!H311)</f>
        <v/>
      </c>
      <c r="H314" s="14" t="str">
        <f aca="false">IF('Grocery Purchases'!B311="","",'Grocery Purchases'!I311)</f>
        <v/>
      </c>
    </row>
    <row r="315" customFormat="false" ht="15" hidden="false" customHeight="true" outlineLevel="0" collapsed="false">
      <c r="A315" s="12" t="str">
        <f aca="false">IF('Grocery Purchases'!B312="","",'Grocery Purchases'!A312)</f>
        <v/>
      </c>
      <c r="B315" s="17" t="str">
        <f aca="false">IF('Grocery Purchases'!B312="","",'Grocery Purchases'!B312)</f>
        <v/>
      </c>
      <c r="C315" s="17" t="str">
        <f aca="false">IF('Grocery Purchases'!B312="","",'Grocery Purchases'!C312)</f>
        <v/>
      </c>
      <c r="D315" s="14" t="str">
        <f aca="false">IF('Grocery Purchases'!B312="","",'Grocery Purchases'!D312)</f>
        <v/>
      </c>
      <c r="E315" s="11" t="str">
        <f aca="false">IF('Grocery Purchases'!B312="","",'Grocery Purchases'!F312)</f>
        <v/>
      </c>
      <c r="F315" s="11" t="str">
        <f aca="false">IF('Grocery Purchases'!B312="","",'Grocery Purchases'!G312)</f>
        <v/>
      </c>
      <c r="G315" s="32" t="str">
        <f aca="false">IF('Grocery Purchases'!B312="","",'Grocery Purchases'!H312)</f>
        <v/>
      </c>
      <c r="H315" s="14" t="str">
        <f aca="false">IF('Grocery Purchases'!B312="","",'Grocery Purchases'!I312)</f>
        <v/>
      </c>
    </row>
    <row r="316" customFormat="false" ht="15" hidden="false" customHeight="true" outlineLevel="0" collapsed="false">
      <c r="A316" s="12" t="str">
        <f aca="false">IF('Grocery Purchases'!B313="","",'Grocery Purchases'!A313)</f>
        <v/>
      </c>
      <c r="B316" s="17" t="str">
        <f aca="false">IF('Grocery Purchases'!B313="","",'Grocery Purchases'!B313)</f>
        <v/>
      </c>
      <c r="C316" s="17" t="str">
        <f aca="false">IF('Grocery Purchases'!B313="","",'Grocery Purchases'!C313)</f>
        <v/>
      </c>
      <c r="D316" s="14" t="str">
        <f aca="false">IF('Grocery Purchases'!B313="","",'Grocery Purchases'!D313)</f>
        <v/>
      </c>
      <c r="E316" s="11" t="str">
        <f aca="false">IF('Grocery Purchases'!B313="","",'Grocery Purchases'!F313)</f>
        <v/>
      </c>
      <c r="F316" s="11" t="str">
        <f aca="false">IF('Grocery Purchases'!B313="","",'Grocery Purchases'!G313)</f>
        <v/>
      </c>
      <c r="G316" s="32" t="str">
        <f aca="false">IF('Grocery Purchases'!B313="","",'Grocery Purchases'!H313)</f>
        <v/>
      </c>
      <c r="H316" s="14" t="str">
        <f aca="false">IF('Grocery Purchases'!B313="","",'Grocery Purchases'!I313)</f>
        <v/>
      </c>
    </row>
    <row r="317" customFormat="false" ht="15" hidden="false" customHeight="true" outlineLevel="0" collapsed="false">
      <c r="A317" s="12" t="str">
        <f aca="false">IF('Grocery Purchases'!B314="","",'Grocery Purchases'!A314)</f>
        <v/>
      </c>
      <c r="B317" s="17" t="str">
        <f aca="false">IF('Grocery Purchases'!B314="","",'Grocery Purchases'!B314)</f>
        <v/>
      </c>
      <c r="C317" s="17" t="str">
        <f aca="false">IF('Grocery Purchases'!B314="","",'Grocery Purchases'!C314)</f>
        <v/>
      </c>
      <c r="D317" s="14" t="str">
        <f aca="false">IF('Grocery Purchases'!B314="","",'Grocery Purchases'!D314)</f>
        <v/>
      </c>
      <c r="E317" s="11" t="str">
        <f aca="false">IF('Grocery Purchases'!B314="","",'Grocery Purchases'!F314)</f>
        <v/>
      </c>
      <c r="F317" s="11" t="str">
        <f aca="false">IF('Grocery Purchases'!B314="","",'Grocery Purchases'!G314)</f>
        <v/>
      </c>
      <c r="G317" s="32" t="str">
        <f aca="false">IF('Grocery Purchases'!B314="","",'Grocery Purchases'!H314)</f>
        <v/>
      </c>
      <c r="H317" s="14" t="str">
        <f aca="false">IF('Grocery Purchases'!B314="","",'Grocery Purchases'!I314)</f>
        <v/>
      </c>
    </row>
    <row r="318" customFormat="false" ht="15" hidden="false" customHeight="true" outlineLevel="0" collapsed="false">
      <c r="A318" s="12" t="str">
        <f aca="false">IF('Grocery Purchases'!B315="","",'Grocery Purchases'!A315)</f>
        <v/>
      </c>
      <c r="B318" s="17" t="str">
        <f aca="false">IF('Grocery Purchases'!B315="","",'Grocery Purchases'!B315)</f>
        <v/>
      </c>
      <c r="C318" s="17" t="str">
        <f aca="false">IF('Grocery Purchases'!B315="","",'Grocery Purchases'!C315)</f>
        <v/>
      </c>
      <c r="D318" s="14" t="str">
        <f aca="false">IF('Grocery Purchases'!B315="","",'Grocery Purchases'!D315)</f>
        <v/>
      </c>
      <c r="E318" s="11" t="str">
        <f aca="false">IF('Grocery Purchases'!B315="","",'Grocery Purchases'!F315)</f>
        <v/>
      </c>
      <c r="F318" s="11" t="str">
        <f aca="false">IF('Grocery Purchases'!B315="","",'Grocery Purchases'!G315)</f>
        <v/>
      </c>
      <c r="G318" s="32" t="str">
        <f aca="false">IF('Grocery Purchases'!B315="","",'Grocery Purchases'!H315)</f>
        <v/>
      </c>
      <c r="H318" s="14" t="str">
        <f aca="false">IF('Grocery Purchases'!B315="","",'Grocery Purchases'!I315)</f>
        <v/>
      </c>
    </row>
    <row r="319" customFormat="false" ht="15" hidden="false" customHeight="true" outlineLevel="0" collapsed="false">
      <c r="A319" s="12" t="str">
        <f aca="false">IF('Grocery Purchases'!B316="","",'Grocery Purchases'!A316)</f>
        <v/>
      </c>
      <c r="B319" s="17" t="str">
        <f aca="false">IF('Grocery Purchases'!B316="","",'Grocery Purchases'!B316)</f>
        <v/>
      </c>
      <c r="C319" s="17" t="str">
        <f aca="false">IF('Grocery Purchases'!B316="","",'Grocery Purchases'!C316)</f>
        <v/>
      </c>
      <c r="D319" s="14" t="str">
        <f aca="false">IF('Grocery Purchases'!B316="","",'Grocery Purchases'!D316)</f>
        <v/>
      </c>
      <c r="E319" s="11" t="str">
        <f aca="false">IF('Grocery Purchases'!B316="","",'Grocery Purchases'!F316)</f>
        <v/>
      </c>
      <c r="F319" s="11" t="str">
        <f aca="false">IF('Grocery Purchases'!B316="","",'Grocery Purchases'!G316)</f>
        <v/>
      </c>
      <c r="G319" s="32" t="str">
        <f aca="false">IF('Grocery Purchases'!B316="","",'Grocery Purchases'!H316)</f>
        <v/>
      </c>
      <c r="H319" s="14" t="str">
        <f aca="false">IF('Grocery Purchases'!B316="","",'Grocery Purchases'!I316)</f>
        <v/>
      </c>
    </row>
    <row r="320" customFormat="false" ht="15" hidden="false" customHeight="true" outlineLevel="0" collapsed="false">
      <c r="A320" s="12" t="str">
        <f aca="false">IF('Grocery Purchases'!B317="","",'Grocery Purchases'!A317)</f>
        <v/>
      </c>
      <c r="B320" s="17" t="str">
        <f aca="false">IF('Grocery Purchases'!B317="","",'Grocery Purchases'!B317)</f>
        <v/>
      </c>
      <c r="C320" s="17" t="str">
        <f aca="false">IF('Grocery Purchases'!B317="","",'Grocery Purchases'!C317)</f>
        <v/>
      </c>
      <c r="D320" s="14" t="str">
        <f aca="false">IF('Grocery Purchases'!B317="","",'Grocery Purchases'!D317)</f>
        <v/>
      </c>
      <c r="E320" s="11" t="str">
        <f aca="false">IF('Grocery Purchases'!B317="","",'Grocery Purchases'!F317)</f>
        <v/>
      </c>
      <c r="F320" s="11" t="str">
        <f aca="false">IF('Grocery Purchases'!B317="","",'Grocery Purchases'!G317)</f>
        <v/>
      </c>
      <c r="G320" s="32" t="str">
        <f aca="false">IF('Grocery Purchases'!B317="","",'Grocery Purchases'!H317)</f>
        <v/>
      </c>
      <c r="H320" s="14" t="str">
        <f aca="false">IF('Grocery Purchases'!B317="","",'Grocery Purchases'!I317)</f>
        <v/>
      </c>
    </row>
    <row r="321" customFormat="false" ht="15" hidden="false" customHeight="true" outlineLevel="0" collapsed="false">
      <c r="A321" s="12" t="str">
        <f aca="false">IF('Grocery Purchases'!B318="","",'Grocery Purchases'!A318)</f>
        <v/>
      </c>
      <c r="B321" s="17" t="str">
        <f aca="false">IF('Grocery Purchases'!B318="","",'Grocery Purchases'!B318)</f>
        <v/>
      </c>
      <c r="C321" s="17" t="str">
        <f aca="false">IF('Grocery Purchases'!B318="","",'Grocery Purchases'!C318)</f>
        <v/>
      </c>
      <c r="D321" s="14" t="str">
        <f aca="false">IF('Grocery Purchases'!B318="","",'Grocery Purchases'!D318)</f>
        <v/>
      </c>
      <c r="E321" s="11" t="str">
        <f aca="false">IF('Grocery Purchases'!B318="","",'Grocery Purchases'!F318)</f>
        <v/>
      </c>
      <c r="F321" s="11" t="str">
        <f aca="false">IF('Grocery Purchases'!B318="","",'Grocery Purchases'!G318)</f>
        <v/>
      </c>
      <c r="G321" s="32" t="str">
        <f aca="false">IF('Grocery Purchases'!B318="","",'Grocery Purchases'!H318)</f>
        <v/>
      </c>
      <c r="H321" s="14" t="str">
        <f aca="false">IF('Grocery Purchases'!B318="","",'Grocery Purchases'!I318)</f>
        <v/>
      </c>
    </row>
    <row r="322" customFormat="false" ht="15" hidden="false" customHeight="true" outlineLevel="0" collapsed="false">
      <c r="A322" s="12" t="str">
        <f aca="false">IF('Grocery Purchases'!B319="","",'Grocery Purchases'!A319)</f>
        <v/>
      </c>
      <c r="B322" s="17" t="str">
        <f aca="false">IF('Grocery Purchases'!B319="","",'Grocery Purchases'!B319)</f>
        <v/>
      </c>
      <c r="C322" s="17" t="str">
        <f aca="false">IF('Grocery Purchases'!B319="","",'Grocery Purchases'!C319)</f>
        <v/>
      </c>
      <c r="D322" s="14" t="str">
        <f aca="false">IF('Grocery Purchases'!B319="","",'Grocery Purchases'!D319)</f>
        <v/>
      </c>
      <c r="E322" s="11" t="str">
        <f aca="false">IF('Grocery Purchases'!B319="","",'Grocery Purchases'!F319)</f>
        <v/>
      </c>
      <c r="F322" s="11" t="str">
        <f aca="false">IF('Grocery Purchases'!B319="","",'Grocery Purchases'!G319)</f>
        <v/>
      </c>
      <c r="G322" s="32" t="str">
        <f aca="false">IF('Grocery Purchases'!B319="","",'Grocery Purchases'!H319)</f>
        <v/>
      </c>
      <c r="H322" s="14" t="str">
        <f aca="false">IF('Grocery Purchases'!B319="","",'Grocery Purchases'!I319)</f>
        <v/>
      </c>
    </row>
    <row r="323" customFormat="false" ht="15" hidden="false" customHeight="true" outlineLevel="0" collapsed="false">
      <c r="A323" s="12" t="str">
        <f aca="false">IF('Grocery Purchases'!B320="","",'Grocery Purchases'!A320)</f>
        <v/>
      </c>
      <c r="B323" s="17" t="str">
        <f aca="false">IF('Grocery Purchases'!B320="","",'Grocery Purchases'!B320)</f>
        <v/>
      </c>
      <c r="C323" s="17" t="str">
        <f aca="false">IF('Grocery Purchases'!B320="","",'Grocery Purchases'!C320)</f>
        <v/>
      </c>
      <c r="D323" s="14" t="str">
        <f aca="false">IF('Grocery Purchases'!B320="","",'Grocery Purchases'!D320)</f>
        <v/>
      </c>
      <c r="E323" s="11" t="str">
        <f aca="false">IF('Grocery Purchases'!B320="","",'Grocery Purchases'!F320)</f>
        <v/>
      </c>
      <c r="F323" s="11" t="str">
        <f aca="false">IF('Grocery Purchases'!B320="","",'Grocery Purchases'!G320)</f>
        <v/>
      </c>
      <c r="G323" s="32" t="str">
        <f aca="false">IF('Grocery Purchases'!B320="","",'Grocery Purchases'!H320)</f>
        <v/>
      </c>
      <c r="H323" s="14" t="str">
        <f aca="false">IF('Grocery Purchases'!B320="","",'Grocery Purchases'!I320)</f>
        <v/>
      </c>
    </row>
    <row r="324" customFormat="false" ht="15" hidden="false" customHeight="true" outlineLevel="0" collapsed="false">
      <c r="A324" s="12" t="str">
        <f aca="false">IF('Grocery Purchases'!B321="","",'Grocery Purchases'!A321)</f>
        <v/>
      </c>
      <c r="B324" s="17" t="str">
        <f aca="false">IF('Grocery Purchases'!B321="","",'Grocery Purchases'!B321)</f>
        <v/>
      </c>
      <c r="C324" s="17" t="str">
        <f aca="false">IF('Grocery Purchases'!B321="","",'Grocery Purchases'!C321)</f>
        <v/>
      </c>
      <c r="D324" s="14" t="str">
        <f aca="false">IF('Grocery Purchases'!B321="","",'Grocery Purchases'!D321)</f>
        <v/>
      </c>
      <c r="E324" s="11" t="str">
        <f aca="false">IF('Grocery Purchases'!B321="","",'Grocery Purchases'!F321)</f>
        <v/>
      </c>
      <c r="F324" s="11" t="str">
        <f aca="false">IF('Grocery Purchases'!B321="","",'Grocery Purchases'!G321)</f>
        <v/>
      </c>
      <c r="G324" s="32" t="str">
        <f aca="false">IF('Grocery Purchases'!B321="","",'Grocery Purchases'!H321)</f>
        <v/>
      </c>
      <c r="H324" s="14" t="str">
        <f aca="false">IF('Grocery Purchases'!B321="","",'Grocery Purchases'!I321)</f>
        <v/>
      </c>
    </row>
    <row r="325" customFormat="false" ht="15" hidden="false" customHeight="true" outlineLevel="0" collapsed="false">
      <c r="A325" s="12" t="str">
        <f aca="false">IF('Grocery Purchases'!B322="","",'Grocery Purchases'!A322)</f>
        <v/>
      </c>
      <c r="B325" s="17" t="str">
        <f aca="false">IF('Grocery Purchases'!B322="","",'Grocery Purchases'!B322)</f>
        <v/>
      </c>
      <c r="C325" s="17" t="str">
        <f aca="false">IF('Grocery Purchases'!B322="","",'Grocery Purchases'!C322)</f>
        <v/>
      </c>
      <c r="D325" s="14" t="str">
        <f aca="false">IF('Grocery Purchases'!B322="","",'Grocery Purchases'!D322)</f>
        <v/>
      </c>
      <c r="E325" s="11" t="str">
        <f aca="false">IF('Grocery Purchases'!B322="","",'Grocery Purchases'!F322)</f>
        <v/>
      </c>
      <c r="F325" s="11" t="str">
        <f aca="false">IF('Grocery Purchases'!B322="","",'Grocery Purchases'!G322)</f>
        <v/>
      </c>
      <c r="G325" s="32" t="str">
        <f aca="false">IF('Grocery Purchases'!B322="","",'Grocery Purchases'!H322)</f>
        <v/>
      </c>
      <c r="H325" s="14" t="str">
        <f aca="false">IF('Grocery Purchases'!B322="","",'Grocery Purchases'!I322)</f>
        <v/>
      </c>
    </row>
    <row r="326" customFormat="false" ht="15" hidden="false" customHeight="true" outlineLevel="0" collapsed="false">
      <c r="A326" s="12" t="str">
        <f aca="false">IF('Grocery Purchases'!B323="","",'Grocery Purchases'!A323)</f>
        <v/>
      </c>
      <c r="B326" s="17" t="str">
        <f aca="false">IF('Grocery Purchases'!B323="","",'Grocery Purchases'!B323)</f>
        <v/>
      </c>
      <c r="C326" s="17" t="str">
        <f aca="false">IF('Grocery Purchases'!B323="","",'Grocery Purchases'!C323)</f>
        <v/>
      </c>
      <c r="D326" s="14" t="str">
        <f aca="false">IF('Grocery Purchases'!B323="","",'Grocery Purchases'!D323)</f>
        <v/>
      </c>
      <c r="E326" s="11" t="str">
        <f aca="false">IF('Grocery Purchases'!B323="","",'Grocery Purchases'!F323)</f>
        <v/>
      </c>
      <c r="F326" s="11" t="str">
        <f aca="false">IF('Grocery Purchases'!B323="","",'Grocery Purchases'!G323)</f>
        <v/>
      </c>
      <c r="G326" s="32" t="str">
        <f aca="false">IF('Grocery Purchases'!B323="","",'Grocery Purchases'!H323)</f>
        <v/>
      </c>
      <c r="H326" s="14" t="str">
        <f aca="false">IF('Grocery Purchases'!B323="","",'Grocery Purchases'!I323)</f>
        <v/>
      </c>
    </row>
    <row r="327" customFormat="false" ht="15" hidden="false" customHeight="true" outlineLevel="0" collapsed="false">
      <c r="A327" s="12" t="str">
        <f aca="false">IF('Grocery Purchases'!B324="","",'Grocery Purchases'!A324)</f>
        <v/>
      </c>
      <c r="B327" s="17" t="str">
        <f aca="false">IF('Grocery Purchases'!B324="","",'Grocery Purchases'!B324)</f>
        <v/>
      </c>
      <c r="C327" s="17" t="str">
        <f aca="false">IF('Grocery Purchases'!B324="","",'Grocery Purchases'!C324)</f>
        <v/>
      </c>
      <c r="D327" s="14" t="str">
        <f aca="false">IF('Grocery Purchases'!B324="","",'Grocery Purchases'!D324)</f>
        <v/>
      </c>
      <c r="E327" s="11" t="str">
        <f aca="false">IF('Grocery Purchases'!B324="","",'Grocery Purchases'!F324)</f>
        <v/>
      </c>
      <c r="F327" s="11" t="str">
        <f aca="false">IF('Grocery Purchases'!B324="","",'Grocery Purchases'!G324)</f>
        <v/>
      </c>
      <c r="G327" s="32" t="str">
        <f aca="false">IF('Grocery Purchases'!B324="","",'Grocery Purchases'!H324)</f>
        <v/>
      </c>
      <c r="H327" s="14" t="str">
        <f aca="false">IF('Grocery Purchases'!B324="","",'Grocery Purchases'!I324)</f>
        <v/>
      </c>
    </row>
    <row r="328" customFormat="false" ht="15" hidden="false" customHeight="true" outlineLevel="0" collapsed="false">
      <c r="A328" s="12" t="str">
        <f aca="false">IF('Grocery Purchases'!B325="","",'Grocery Purchases'!A325)</f>
        <v/>
      </c>
      <c r="B328" s="17" t="str">
        <f aca="false">IF('Grocery Purchases'!B325="","",'Grocery Purchases'!B325)</f>
        <v/>
      </c>
      <c r="C328" s="17" t="str">
        <f aca="false">IF('Grocery Purchases'!B325="","",'Grocery Purchases'!C325)</f>
        <v/>
      </c>
      <c r="D328" s="14" t="str">
        <f aca="false">IF('Grocery Purchases'!B325="","",'Grocery Purchases'!D325)</f>
        <v/>
      </c>
      <c r="E328" s="11" t="str">
        <f aca="false">IF('Grocery Purchases'!B325="","",'Grocery Purchases'!F325)</f>
        <v/>
      </c>
      <c r="F328" s="11" t="str">
        <f aca="false">IF('Grocery Purchases'!B325="","",'Grocery Purchases'!G325)</f>
        <v/>
      </c>
      <c r="G328" s="32" t="str">
        <f aca="false">IF('Grocery Purchases'!B325="","",'Grocery Purchases'!H325)</f>
        <v/>
      </c>
      <c r="H328" s="14" t="str">
        <f aca="false">IF('Grocery Purchases'!B325="","",'Grocery Purchases'!I325)</f>
        <v/>
      </c>
    </row>
    <row r="329" customFormat="false" ht="15" hidden="false" customHeight="true" outlineLevel="0" collapsed="false">
      <c r="A329" s="12" t="str">
        <f aca="false">IF('Grocery Purchases'!B326="","",'Grocery Purchases'!A326)</f>
        <v/>
      </c>
      <c r="B329" s="17" t="str">
        <f aca="false">IF('Grocery Purchases'!B326="","",'Grocery Purchases'!B326)</f>
        <v/>
      </c>
      <c r="C329" s="17" t="str">
        <f aca="false">IF('Grocery Purchases'!B326="","",'Grocery Purchases'!C326)</f>
        <v/>
      </c>
      <c r="D329" s="14" t="str">
        <f aca="false">IF('Grocery Purchases'!B326="","",'Grocery Purchases'!D326)</f>
        <v/>
      </c>
      <c r="E329" s="11" t="str">
        <f aca="false">IF('Grocery Purchases'!B326="","",'Grocery Purchases'!F326)</f>
        <v/>
      </c>
      <c r="F329" s="11" t="str">
        <f aca="false">IF('Grocery Purchases'!B326="","",'Grocery Purchases'!G326)</f>
        <v/>
      </c>
      <c r="G329" s="32" t="str">
        <f aca="false">IF('Grocery Purchases'!B326="","",'Grocery Purchases'!H326)</f>
        <v/>
      </c>
      <c r="H329" s="14" t="str">
        <f aca="false">IF('Grocery Purchases'!B326="","",'Grocery Purchases'!I326)</f>
        <v/>
      </c>
    </row>
    <row r="330" customFormat="false" ht="15" hidden="false" customHeight="true" outlineLevel="0" collapsed="false">
      <c r="A330" s="12" t="str">
        <f aca="false">IF('Grocery Purchases'!B327="","",'Grocery Purchases'!A327)</f>
        <v/>
      </c>
      <c r="B330" s="17" t="str">
        <f aca="false">IF('Grocery Purchases'!B327="","",'Grocery Purchases'!B327)</f>
        <v/>
      </c>
      <c r="C330" s="17" t="str">
        <f aca="false">IF('Grocery Purchases'!B327="","",'Grocery Purchases'!C327)</f>
        <v/>
      </c>
      <c r="D330" s="14" t="str">
        <f aca="false">IF('Grocery Purchases'!B327="","",'Grocery Purchases'!D327)</f>
        <v/>
      </c>
      <c r="E330" s="11" t="str">
        <f aca="false">IF('Grocery Purchases'!B327="","",'Grocery Purchases'!F327)</f>
        <v/>
      </c>
      <c r="F330" s="11" t="str">
        <f aca="false">IF('Grocery Purchases'!B327="","",'Grocery Purchases'!G327)</f>
        <v/>
      </c>
      <c r="G330" s="32" t="str">
        <f aca="false">IF('Grocery Purchases'!B327="","",'Grocery Purchases'!H327)</f>
        <v/>
      </c>
      <c r="H330" s="14" t="str">
        <f aca="false">IF('Grocery Purchases'!B327="","",'Grocery Purchases'!I327)</f>
        <v/>
      </c>
    </row>
    <row r="331" customFormat="false" ht="15" hidden="false" customHeight="true" outlineLevel="0" collapsed="false">
      <c r="A331" s="12" t="str">
        <f aca="false">IF('Grocery Purchases'!B328="","",'Grocery Purchases'!A328)</f>
        <v/>
      </c>
      <c r="B331" s="17" t="str">
        <f aca="false">IF('Grocery Purchases'!B328="","",'Grocery Purchases'!B328)</f>
        <v/>
      </c>
      <c r="C331" s="17" t="str">
        <f aca="false">IF('Grocery Purchases'!B328="","",'Grocery Purchases'!C328)</f>
        <v/>
      </c>
      <c r="D331" s="14" t="str">
        <f aca="false">IF('Grocery Purchases'!B328="","",'Grocery Purchases'!D328)</f>
        <v/>
      </c>
      <c r="E331" s="11" t="str">
        <f aca="false">IF('Grocery Purchases'!B328="","",'Grocery Purchases'!F328)</f>
        <v/>
      </c>
      <c r="F331" s="11" t="str">
        <f aca="false">IF('Grocery Purchases'!B328="","",'Grocery Purchases'!G328)</f>
        <v/>
      </c>
      <c r="G331" s="32" t="str">
        <f aca="false">IF('Grocery Purchases'!B328="","",'Grocery Purchases'!H328)</f>
        <v/>
      </c>
      <c r="H331" s="14" t="str">
        <f aca="false">IF('Grocery Purchases'!B328="","",'Grocery Purchases'!I328)</f>
        <v/>
      </c>
    </row>
    <row r="332" customFormat="false" ht="15" hidden="false" customHeight="true" outlineLevel="0" collapsed="false">
      <c r="A332" s="12" t="str">
        <f aca="false">IF('Grocery Purchases'!B329="","",'Grocery Purchases'!A329)</f>
        <v/>
      </c>
      <c r="B332" s="17" t="str">
        <f aca="false">IF('Grocery Purchases'!B329="","",'Grocery Purchases'!B329)</f>
        <v/>
      </c>
      <c r="C332" s="17" t="str">
        <f aca="false">IF('Grocery Purchases'!B329="","",'Grocery Purchases'!C329)</f>
        <v/>
      </c>
      <c r="D332" s="14" t="str">
        <f aca="false">IF('Grocery Purchases'!B329="","",'Grocery Purchases'!D329)</f>
        <v/>
      </c>
      <c r="E332" s="11" t="str">
        <f aca="false">IF('Grocery Purchases'!B329="","",'Grocery Purchases'!F329)</f>
        <v/>
      </c>
      <c r="F332" s="11" t="str">
        <f aca="false">IF('Grocery Purchases'!B329="","",'Grocery Purchases'!G329)</f>
        <v/>
      </c>
      <c r="G332" s="32" t="str">
        <f aca="false">IF('Grocery Purchases'!B329="","",'Grocery Purchases'!H329)</f>
        <v/>
      </c>
      <c r="H332" s="14" t="str">
        <f aca="false">IF('Grocery Purchases'!B329="","",'Grocery Purchases'!I329)</f>
        <v/>
      </c>
    </row>
    <row r="333" customFormat="false" ht="15" hidden="false" customHeight="true" outlineLevel="0" collapsed="false">
      <c r="A333" s="12" t="str">
        <f aca="false">IF('Grocery Purchases'!B330="","",'Grocery Purchases'!A330)</f>
        <v/>
      </c>
      <c r="B333" s="17" t="str">
        <f aca="false">IF('Grocery Purchases'!B330="","",'Grocery Purchases'!B330)</f>
        <v/>
      </c>
      <c r="C333" s="17" t="str">
        <f aca="false">IF('Grocery Purchases'!B330="","",'Grocery Purchases'!C330)</f>
        <v/>
      </c>
      <c r="D333" s="14" t="str">
        <f aca="false">IF('Grocery Purchases'!B330="","",'Grocery Purchases'!D330)</f>
        <v/>
      </c>
      <c r="E333" s="11" t="str">
        <f aca="false">IF('Grocery Purchases'!B330="","",'Grocery Purchases'!F330)</f>
        <v/>
      </c>
      <c r="F333" s="11" t="str">
        <f aca="false">IF('Grocery Purchases'!B330="","",'Grocery Purchases'!G330)</f>
        <v/>
      </c>
      <c r="G333" s="32" t="str">
        <f aca="false">IF('Grocery Purchases'!B330="","",'Grocery Purchases'!H330)</f>
        <v/>
      </c>
      <c r="H333" s="14" t="str">
        <f aca="false">IF('Grocery Purchases'!B330="","",'Grocery Purchases'!I330)</f>
        <v/>
      </c>
    </row>
    <row r="334" customFormat="false" ht="15" hidden="false" customHeight="true" outlineLevel="0" collapsed="false">
      <c r="A334" s="12" t="str">
        <f aca="false">IF('Grocery Purchases'!B331="","",'Grocery Purchases'!A331)</f>
        <v/>
      </c>
      <c r="B334" s="17" t="str">
        <f aca="false">IF('Grocery Purchases'!B331="","",'Grocery Purchases'!B331)</f>
        <v/>
      </c>
      <c r="C334" s="17" t="str">
        <f aca="false">IF('Grocery Purchases'!B331="","",'Grocery Purchases'!C331)</f>
        <v/>
      </c>
      <c r="D334" s="14" t="str">
        <f aca="false">IF('Grocery Purchases'!B331="","",'Grocery Purchases'!D331)</f>
        <v/>
      </c>
      <c r="E334" s="11" t="str">
        <f aca="false">IF('Grocery Purchases'!B331="","",'Grocery Purchases'!F331)</f>
        <v/>
      </c>
      <c r="F334" s="11" t="str">
        <f aca="false">IF('Grocery Purchases'!B331="","",'Grocery Purchases'!G331)</f>
        <v/>
      </c>
      <c r="G334" s="32" t="str">
        <f aca="false">IF('Grocery Purchases'!B331="","",'Grocery Purchases'!H331)</f>
        <v/>
      </c>
      <c r="H334" s="14" t="str">
        <f aca="false">IF('Grocery Purchases'!B331="","",'Grocery Purchases'!I331)</f>
        <v/>
      </c>
    </row>
    <row r="335" customFormat="false" ht="15" hidden="false" customHeight="true" outlineLevel="0" collapsed="false">
      <c r="A335" s="12" t="str">
        <f aca="false">IF('Grocery Purchases'!B332="","",'Grocery Purchases'!A332)</f>
        <v/>
      </c>
      <c r="B335" s="17" t="str">
        <f aca="false">IF('Grocery Purchases'!B332="","",'Grocery Purchases'!B332)</f>
        <v/>
      </c>
      <c r="C335" s="17" t="str">
        <f aca="false">IF('Grocery Purchases'!B332="","",'Grocery Purchases'!C332)</f>
        <v/>
      </c>
      <c r="D335" s="14" t="str">
        <f aca="false">IF('Grocery Purchases'!B332="","",'Grocery Purchases'!D332)</f>
        <v/>
      </c>
      <c r="E335" s="11" t="str">
        <f aca="false">IF('Grocery Purchases'!B332="","",'Grocery Purchases'!F332)</f>
        <v/>
      </c>
      <c r="F335" s="11" t="str">
        <f aca="false">IF('Grocery Purchases'!B332="","",'Grocery Purchases'!G332)</f>
        <v/>
      </c>
      <c r="G335" s="32" t="str">
        <f aca="false">IF('Grocery Purchases'!B332="","",'Grocery Purchases'!H332)</f>
        <v/>
      </c>
      <c r="H335" s="14" t="str">
        <f aca="false">IF('Grocery Purchases'!B332="","",'Grocery Purchases'!I332)</f>
        <v/>
      </c>
    </row>
    <row r="336" customFormat="false" ht="15" hidden="false" customHeight="true" outlineLevel="0" collapsed="false">
      <c r="A336" s="12" t="str">
        <f aca="false">IF('Grocery Purchases'!B333="","",'Grocery Purchases'!A333)</f>
        <v/>
      </c>
      <c r="B336" s="17" t="str">
        <f aca="false">IF('Grocery Purchases'!B333="","",'Grocery Purchases'!B333)</f>
        <v/>
      </c>
      <c r="C336" s="17" t="str">
        <f aca="false">IF('Grocery Purchases'!B333="","",'Grocery Purchases'!C333)</f>
        <v/>
      </c>
      <c r="D336" s="14" t="str">
        <f aca="false">IF('Grocery Purchases'!B333="","",'Grocery Purchases'!D333)</f>
        <v/>
      </c>
      <c r="E336" s="11" t="str">
        <f aca="false">IF('Grocery Purchases'!B333="","",'Grocery Purchases'!F333)</f>
        <v/>
      </c>
      <c r="F336" s="11" t="str">
        <f aca="false">IF('Grocery Purchases'!B333="","",'Grocery Purchases'!G333)</f>
        <v/>
      </c>
      <c r="G336" s="32" t="str">
        <f aca="false">IF('Grocery Purchases'!B333="","",'Grocery Purchases'!H333)</f>
        <v/>
      </c>
      <c r="H336" s="14" t="str">
        <f aca="false">IF('Grocery Purchases'!B333="","",'Grocery Purchases'!I333)</f>
        <v/>
      </c>
    </row>
    <row r="337" customFormat="false" ht="15" hidden="false" customHeight="true" outlineLevel="0" collapsed="false">
      <c r="A337" s="12" t="str">
        <f aca="false">IF('Grocery Purchases'!B334="","",'Grocery Purchases'!A334)</f>
        <v/>
      </c>
      <c r="B337" s="17" t="str">
        <f aca="false">IF('Grocery Purchases'!B334="","",'Grocery Purchases'!B334)</f>
        <v/>
      </c>
      <c r="C337" s="17" t="str">
        <f aca="false">IF('Grocery Purchases'!B334="","",'Grocery Purchases'!C334)</f>
        <v/>
      </c>
      <c r="D337" s="14" t="str">
        <f aca="false">IF('Grocery Purchases'!B334="","",'Grocery Purchases'!D334)</f>
        <v/>
      </c>
      <c r="E337" s="11" t="str">
        <f aca="false">IF('Grocery Purchases'!B334="","",'Grocery Purchases'!F334)</f>
        <v/>
      </c>
      <c r="F337" s="11" t="str">
        <f aca="false">IF('Grocery Purchases'!B334="","",'Grocery Purchases'!G334)</f>
        <v/>
      </c>
      <c r="G337" s="32" t="str">
        <f aca="false">IF('Grocery Purchases'!B334="","",'Grocery Purchases'!H334)</f>
        <v/>
      </c>
      <c r="H337" s="14" t="str">
        <f aca="false">IF('Grocery Purchases'!B334="","",'Grocery Purchases'!I334)</f>
        <v/>
      </c>
    </row>
    <row r="338" customFormat="false" ht="15" hidden="false" customHeight="true" outlineLevel="0" collapsed="false">
      <c r="A338" s="12" t="str">
        <f aca="false">IF('Grocery Purchases'!B335="","",'Grocery Purchases'!A335)</f>
        <v/>
      </c>
      <c r="B338" s="17" t="str">
        <f aca="false">IF('Grocery Purchases'!B335="","",'Grocery Purchases'!B335)</f>
        <v/>
      </c>
      <c r="C338" s="17" t="str">
        <f aca="false">IF('Grocery Purchases'!B335="","",'Grocery Purchases'!C335)</f>
        <v/>
      </c>
      <c r="D338" s="14" t="str">
        <f aca="false">IF('Grocery Purchases'!B335="","",'Grocery Purchases'!D335)</f>
        <v/>
      </c>
      <c r="E338" s="11" t="str">
        <f aca="false">IF('Grocery Purchases'!B335="","",'Grocery Purchases'!F335)</f>
        <v/>
      </c>
      <c r="F338" s="11" t="str">
        <f aca="false">IF('Grocery Purchases'!B335="","",'Grocery Purchases'!G335)</f>
        <v/>
      </c>
      <c r="G338" s="32" t="str">
        <f aca="false">IF('Grocery Purchases'!B335="","",'Grocery Purchases'!H335)</f>
        <v/>
      </c>
      <c r="H338" s="14" t="str">
        <f aca="false">IF('Grocery Purchases'!B335="","",'Grocery Purchases'!I335)</f>
        <v/>
      </c>
    </row>
    <row r="339" customFormat="false" ht="15" hidden="false" customHeight="true" outlineLevel="0" collapsed="false">
      <c r="A339" s="12" t="str">
        <f aca="false">IF('Grocery Purchases'!B336="","",'Grocery Purchases'!A336)</f>
        <v/>
      </c>
      <c r="B339" s="17" t="str">
        <f aca="false">IF('Grocery Purchases'!B336="","",'Grocery Purchases'!B336)</f>
        <v/>
      </c>
      <c r="C339" s="17" t="str">
        <f aca="false">IF('Grocery Purchases'!B336="","",'Grocery Purchases'!C336)</f>
        <v/>
      </c>
      <c r="D339" s="14" t="str">
        <f aca="false">IF('Grocery Purchases'!B336="","",'Grocery Purchases'!D336)</f>
        <v/>
      </c>
      <c r="E339" s="11" t="str">
        <f aca="false">IF('Grocery Purchases'!B336="","",'Grocery Purchases'!F336)</f>
        <v/>
      </c>
      <c r="F339" s="11" t="str">
        <f aca="false">IF('Grocery Purchases'!B336="","",'Grocery Purchases'!G336)</f>
        <v/>
      </c>
      <c r="G339" s="32" t="str">
        <f aca="false">IF('Grocery Purchases'!B336="","",'Grocery Purchases'!H336)</f>
        <v/>
      </c>
      <c r="H339" s="14" t="str">
        <f aca="false">IF('Grocery Purchases'!B336="","",'Grocery Purchases'!I336)</f>
        <v/>
      </c>
    </row>
    <row r="340" customFormat="false" ht="15" hidden="false" customHeight="true" outlineLevel="0" collapsed="false">
      <c r="A340" s="12" t="str">
        <f aca="false">IF('Grocery Purchases'!B337="","",'Grocery Purchases'!A337)</f>
        <v/>
      </c>
      <c r="B340" s="17" t="str">
        <f aca="false">IF('Grocery Purchases'!B337="","",'Grocery Purchases'!B337)</f>
        <v/>
      </c>
      <c r="C340" s="17" t="str">
        <f aca="false">IF('Grocery Purchases'!B337="","",'Grocery Purchases'!C337)</f>
        <v/>
      </c>
      <c r="D340" s="14" t="str">
        <f aca="false">IF('Grocery Purchases'!B337="","",'Grocery Purchases'!D337)</f>
        <v/>
      </c>
      <c r="E340" s="11" t="str">
        <f aca="false">IF('Grocery Purchases'!B337="","",'Grocery Purchases'!F337)</f>
        <v/>
      </c>
      <c r="F340" s="11" t="str">
        <f aca="false">IF('Grocery Purchases'!B337="","",'Grocery Purchases'!G337)</f>
        <v/>
      </c>
      <c r="G340" s="32" t="str">
        <f aca="false">IF('Grocery Purchases'!B337="","",'Grocery Purchases'!H337)</f>
        <v/>
      </c>
      <c r="H340" s="14" t="str">
        <f aca="false">IF('Grocery Purchases'!B337="","",'Grocery Purchases'!I337)</f>
        <v/>
      </c>
    </row>
    <row r="341" customFormat="false" ht="15" hidden="false" customHeight="true" outlineLevel="0" collapsed="false">
      <c r="A341" s="12" t="str">
        <f aca="false">IF('Grocery Purchases'!B338="","",'Grocery Purchases'!A338)</f>
        <v/>
      </c>
      <c r="B341" s="17" t="str">
        <f aca="false">IF('Grocery Purchases'!B338="","",'Grocery Purchases'!B338)</f>
        <v/>
      </c>
      <c r="C341" s="17" t="str">
        <f aca="false">IF('Grocery Purchases'!B338="","",'Grocery Purchases'!C338)</f>
        <v/>
      </c>
      <c r="D341" s="14" t="str">
        <f aca="false">IF('Grocery Purchases'!B338="","",'Grocery Purchases'!D338)</f>
        <v/>
      </c>
      <c r="E341" s="11" t="str">
        <f aca="false">IF('Grocery Purchases'!B338="","",'Grocery Purchases'!F338)</f>
        <v/>
      </c>
      <c r="F341" s="11" t="str">
        <f aca="false">IF('Grocery Purchases'!B338="","",'Grocery Purchases'!G338)</f>
        <v/>
      </c>
      <c r="G341" s="32" t="str">
        <f aca="false">IF('Grocery Purchases'!B338="","",'Grocery Purchases'!H338)</f>
        <v/>
      </c>
      <c r="H341" s="14" t="str">
        <f aca="false">IF('Grocery Purchases'!B338="","",'Grocery Purchases'!I338)</f>
        <v/>
      </c>
    </row>
    <row r="342" customFormat="false" ht="15" hidden="false" customHeight="true" outlineLevel="0" collapsed="false">
      <c r="A342" s="12" t="str">
        <f aca="false">IF('Grocery Purchases'!B339="","",'Grocery Purchases'!A339)</f>
        <v/>
      </c>
      <c r="B342" s="17" t="str">
        <f aca="false">IF('Grocery Purchases'!B339="","",'Grocery Purchases'!B339)</f>
        <v/>
      </c>
      <c r="C342" s="17" t="str">
        <f aca="false">IF('Grocery Purchases'!B339="","",'Grocery Purchases'!C339)</f>
        <v/>
      </c>
      <c r="D342" s="14" t="str">
        <f aca="false">IF('Grocery Purchases'!B339="","",'Grocery Purchases'!D339)</f>
        <v/>
      </c>
      <c r="E342" s="11" t="str">
        <f aca="false">IF('Grocery Purchases'!B339="","",'Grocery Purchases'!F339)</f>
        <v/>
      </c>
      <c r="F342" s="11" t="str">
        <f aca="false">IF('Grocery Purchases'!B339="","",'Grocery Purchases'!G339)</f>
        <v/>
      </c>
      <c r="G342" s="32" t="str">
        <f aca="false">IF('Grocery Purchases'!B339="","",'Grocery Purchases'!H339)</f>
        <v/>
      </c>
      <c r="H342" s="14" t="str">
        <f aca="false">IF('Grocery Purchases'!B339="","",'Grocery Purchases'!I339)</f>
        <v/>
      </c>
    </row>
    <row r="343" customFormat="false" ht="15" hidden="false" customHeight="true" outlineLevel="0" collapsed="false">
      <c r="A343" s="12" t="str">
        <f aca="false">IF('Grocery Purchases'!B340="","",'Grocery Purchases'!A340)</f>
        <v/>
      </c>
      <c r="B343" s="17" t="str">
        <f aca="false">IF('Grocery Purchases'!B340="","",'Grocery Purchases'!B340)</f>
        <v/>
      </c>
      <c r="C343" s="17" t="str">
        <f aca="false">IF('Grocery Purchases'!B340="","",'Grocery Purchases'!C340)</f>
        <v/>
      </c>
      <c r="D343" s="14" t="str">
        <f aca="false">IF('Grocery Purchases'!B340="","",'Grocery Purchases'!D340)</f>
        <v/>
      </c>
      <c r="E343" s="11" t="str">
        <f aca="false">IF('Grocery Purchases'!B340="","",'Grocery Purchases'!F340)</f>
        <v/>
      </c>
      <c r="F343" s="11" t="str">
        <f aca="false">IF('Grocery Purchases'!B340="","",'Grocery Purchases'!G340)</f>
        <v/>
      </c>
      <c r="G343" s="32" t="str">
        <f aca="false">IF('Grocery Purchases'!B340="","",'Grocery Purchases'!H340)</f>
        <v/>
      </c>
      <c r="H343" s="14" t="str">
        <f aca="false">IF('Grocery Purchases'!B340="","",'Grocery Purchases'!I340)</f>
        <v/>
      </c>
    </row>
    <row r="344" customFormat="false" ht="15" hidden="false" customHeight="true" outlineLevel="0" collapsed="false">
      <c r="A344" s="12" t="str">
        <f aca="false">IF('Grocery Purchases'!B341="","",'Grocery Purchases'!A341)</f>
        <v/>
      </c>
      <c r="B344" s="17" t="str">
        <f aca="false">IF('Grocery Purchases'!B341="","",'Grocery Purchases'!B341)</f>
        <v/>
      </c>
      <c r="C344" s="17" t="str">
        <f aca="false">IF('Grocery Purchases'!B341="","",'Grocery Purchases'!C341)</f>
        <v/>
      </c>
      <c r="D344" s="14" t="str">
        <f aca="false">IF('Grocery Purchases'!B341="","",'Grocery Purchases'!D341)</f>
        <v/>
      </c>
      <c r="E344" s="11" t="str">
        <f aca="false">IF('Grocery Purchases'!B341="","",'Grocery Purchases'!F341)</f>
        <v/>
      </c>
      <c r="F344" s="11" t="str">
        <f aca="false">IF('Grocery Purchases'!B341="","",'Grocery Purchases'!G341)</f>
        <v/>
      </c>
      <c r="G344" s="32" t="str">
        <f aca="false">IF('Grocery Purchases'!B341="","",'Grocery Purchases'!H341)</f>
        <v/>
      </c>
      <c r="H344" s="14" t="str">
        <f aca="false">IF('Grocery Purchases'!B341="","",'Grocery Purchases'!I341)</f>
        <v/>
      </c>
    </row>
    <row r="345" customFormat="false" ht="15" hidden="false" customHeight="true" outlineLevel="0" collapsed="false">
      <c r="A345" s="12" t="str">
        <f aca="false">IF('Grocery Purchases'!B342="","",'Grocery Purchases'!A342)</f>
        <v/>
      </c>
      <c r="B345" s="17" t="str">
        <f aca="false">IF('Grocery Purchases'!B342="","",'Grocery Purchases'!B342)</f>
        <v/>
      </c>
      <c r="C345" s="17" t="str">
        <f aca="false">IF('Grocery Purchases'!B342="","",'Grocery Purchases'!C342)</f>
        <v/>
      </c>
      <c r="D345" s="14" t="str">
        <f aca="false">IF('Grocery Purchases'!B342="","",'Grocery Purchases'!D342)</f>
        <v/>
      </c>
      <c r="E345" s="11" t="str">
        <f aca="false">IF('Grocery Purchases'!B342="","",'Grocery Purchases'!F342)</f>
        <v/>
      </c>
      <c r="F345" s="11" t="str">
        <f aca="false">IF('Grocery Purchases'!B342="","",'Grocery Purchases'!G342)</f>
        <v/>
      </c>
      <c r="G345" s="32" t="str">
        <f aca="false">IF('Grocery Purchases'!B342="","",'Grocery Purchases'!H342)</f>
        <v/>
      </c>
      <c r="H345" s="14" t="str">
        <f aca="false">IF('Grocery Purchases'!B342="","",'Grocery Purchases'!I342)</f>
        <v/>
      </c>
    </row>
    <row r="346" customFormat="false" ht="15" hidden="false" customHeight="true" outlineLevel="0" collapsed="false">
      <c r="A346" s="12" t="str">
        <f aca="false">IF('Grocery Purchases'!B343="","",'Grocery Purchases'!A343)</f>
        <v/>
      </c>
      <c r="B346" s="17" t="str">
        <f aca="false">IF('Grocery Purchases'!B343="","",'Grocery Purchases'!B343)</f>
        <v/>
      </c>
      <c r="C346" s="17" t="str">
        <f aca="false">IF('Grocery Purchases'!B343="","",'Grocery Purchases'!C343)</f>
        <v/>
      </c>
      <c r="D346" s="14" t="str">
        <f aca="false">IF('Grocery Purchases'!B343="","",'Grocery Purchases'!D343)</f>
        <v/>
      </c>
      <c r="E346" s="11" t="str">
        <f aca="false">IF('Grocery Purchases'!B343="","",'Grocery Purchases'!F343)</f>
        <v/>
      </c>
      <c r="F346" s="11" t="str">
        <f aca="false">IF('Grocery Purchases'!B343="","",'Grocery Purchases'!G343)</f>
        <v/>
      </c>
      <c r="G346" s="32" t="str">
        <f aca="false">IF('Grocery Purchases'!B343="","",'Grocery Purchases'!H343)</f>
        <v/>
      </c>
      <c r="H346" s="14" t="str">
        <f aca="false">IF('Grocery Purchases'!B343="","",'Grocery Purchases'!I343)</f>
        <v/>
      </c>
    </row>
    <row r="347" customFormat="false" ht="15" hidden="false" customHeight="true" outlineLevel="0" collapsed="false">
      <c r="A347" s="12" t="str">
        <f aca="false">IF('Grocery Purchases'!B344="","",'Grocery Purchases'!A344)</f>
        <v/>
      </c>
      <c r="B347" s="17" t="str">
        <f aca="false">IF('Grocery Purchases'!B344="","",'Grocery Purchases'!B344)</f>
        <v/>
      </c>
      <c r="C347" s="17" t="str">
        <f aca="false">IF('Grocery Purchases'!B344="","",'Grocery Purchases'!C344)</f>
        <v/>
      </c>
      <c r="D347" s="14" t="str">
        <f aca="false">IF('Grocery Purchases'!B344="","",'Grocery Purchases'!D344)</f>
        <v/>
      </c>
      <c r="E347" s="11" t="str">
        <f aca="false">IF('Grocery Purchases'!B344="","",'Grocery Purchases'!F344)</f>
        <v/>
      </c>
      <c r="F347" s="11" t="str">
        <f aca="false">IF('Grocery Purchases'!B344="","",'Grocery Purchases'!G344)</f>
        <v/>
      </c>
      <c r="G347" s="32" t="str">
        <f aca="false">IF('Grocery Purchases'!B344="","",'Grocery Purchases'!H344)</f>
        <v/>
      </c>
      <c r="H347" s="14" t="str">
        <f aca="false">IF('Grocery Purchases'!B344="","",'Grocery Purchases'!I344)</f>
        <v/>
      </c>
    </row>
    <row r="348" customFormat="false" ht="15" hidden="false" customHeight="true" outlineLevel="0" collapsed="false">
      <c r="A348" s="12" t="str">
        <f aca="false">IF('Grocery Purchases'!B345="","",'Grocery Purchases'!A345)</f>
        <v/>
      </c>
      <c r="B348" s="17" t="str">
        <f aca="false">IF('Grocery Purchases'!B345="","",'Grocery Purchases'!B345)</f>
        <v/>
      </c>
      <c r="C348" s="17" t="str">
        <f aca="false">IF('Grocery Purchases'!B345="","",'Grocery Purchases'!C345)</f>
        <v/>
      </c>
      <c r="D348" s="14" t="str">
        <f aca="false">IF('Grocery Purchases'!B345="","",'Grocery Purchases'!D345)</f>
        <v/>
      </c>
      <c r="E348" s="11" t="str">
        <f aca="false">IF('Grocery Purchases'!B345="","",'Grocery Purchases'!F345)</f>
        <v/>
      </c>
      <c r="F348" s="11" t="str">
        <f aca="false">IF('Grocery Purchases'!B345="","",'Grocery Purchases'!G345)</f>
        <v/>
      </c>
      <c r="G348" s="32" t="str">
        <f aca="false">IF('Grocery Purchases'!B345="","",'Grocery Purchases'!H345)</f>
        <v/>
      </c>
      <c r="H348" s="14" t="str">
        <f aca="false">IF('Grocery Purchases'!B345="","",'Grocery Purchases'!I345)</f>
        <v/>
      </c>
    </row>
    <row r="349" customFormat="false" ht="15" hidden="false" customHeight="true" outlineLevel="0" collapsed="false">
      <c r="A349" s="12" t="str">
        <f aca="false">IF('Grocery Purchases'!B346="","",'Grocery Purchases'!A346)</f>
        <v/>
      </c>
      <c r="B349" s="17" t="str">
        <f aca="false">IF('Grocery Purchases'!B346="","",'Grocery Purchases'!B346)</f>
        <v/>
      </c>
      <c r="C349" s="17" t="str">
        <f aca="false">IF('Grocery Purchases'!B346="","",'Grocery Purchases'!C346)</f>
        <v/>
      </c>
      <c r="D349" s="14" t="str">
        <f aca="false">IF('Grocery Purchases'!B346="","",'Grocery Purchases'!D346)</f>
        <v/>
      </c>
      <c r="E349" s="11" t="str">
        <f aca="false">IF('Grocery Purchases'!B346="","",'Grocery Purchases'!F346)</f>
        <v/>
      </c>
      <c r="F349" s="11" t="str">
        <f aca="false">IF('Grocery Purchases'!B346="","",'Grocery Purchases'!G346)</f>
        <v/>
      </c>
      <c r="G349" s="32" t="str">
        <f aca="false">IF('Grocery Purchases'!B346="","",'Grocery Purchases'!H346)</f>
        <v/>
      </c>
      <c r="H349" s="14" t="str">
        <f aca="false">IF('Grocery Purchases'!B346="","",'Grocery Purchases'!I346)</f>
        <v/>
      </c>
    </row>
    <row r="350" customFormat="false" ht="15" hidden="false" customHeight="true" outlineLevel="0" collapsed="false">
      <c r="A350" s="12" t="str">
        <f aca="false">IF('Grocery Purchases'!B347="","",'Grocery Purchases'!A347)</f>
        <v/>
      </c>
      <c r="B350" s="17" t="str">
        <f aca="false">IF('Grocery Purchases'!B347="","",'Grocery Purchases'!B347)</f>
        <v/>
      </c>
      <c r="C350" s="17" t="str">
        <f aca="false">IF('Grocery Purchases'!B347="","",'Grocery Purchases'!C347)</f>
        <v/>
      </c>
      <c r="D350" s="14" t="str">
        <f aca="false">IF('Grocery Purchases'!B347="","",'Grocery Purchases'!D347)</f>
        <v/>
      </c>
      <c r="E350" s="11" t="str">
        <f aca="false">IF('Grocery Purchases'!B347="","",'Grocery Purchases'!F347)</f>
        <v/>
      </c>
      <c r="F350" s="11" t="str">
        <f aca="false">IF('Grocery Purchases'!B347="","",'Grocery Purchases'!G347)</f>
        <v/>
      </c>
      <c r="G350" s="32" t="str">
        <f aca="false">IF('Grocery Purchases'!B347="","",'Grocery Purchases'!H347)</f>
        <v/>
      </c>
      <c r="H350" s="14" t="str">
        <f aca="false">IF('Grocery Purchases'!B347="","",'Grocery Purchases'!I347)</f>
        <v/>
      </c>
    </row>
    <row r="351" customFormat="false" ht="15" hidden="false" customHeight="true" outlineLevel="0" collapsed="false">
      <c r="A351" s="12" t="str">
        <f aca="false">IF('Grocery Purchases'!B348="","",'Grocery Purchases'!A348)</f>
        <v/>
      </c>
      <c r="B351" s="17" t="str">
        <f aca="false">IF('Grocery Purchases'!B348="","",'Grocery Purchases'!B348)</f>
        <v/>
      </c>
      <c r="C351" s="17" t="str">
        <f aca="false">IF('Grocery Purchases'!B348="","",'Grocery Purchases'!C348)</f>
        <v/>
      </c>
      <c r="D351" s="14" t="str">
        <f aca="false">IF('Grocery Purchases'!B348="","",'Grocery Purchases'!D348)</f>
        <v/>
      </c>
      <c r="E351" s="11" t="str">
        <f aca="false">IF('Grocery Purchases'!B348="","",'Grocery Purchases'!F348)</f>
        <v/>
      </c>
      <c r="F351" s="11" t="str">
        <f aca="false">IF('Grocery Purchases'!B348="","",'Grocery Purchases'!G348)</f>
        <v/>
      </c>
      <c r="G351" s="32" t="str">
        <f aca="false">IF('Grocery Purchases'!B348="","",'Grocery Purchases'!H348)</f>
        <v/>
      </c>
      <c r="H351" s="14" t="str">
        <f aca="false">IF('Grocery Purchases'!B348="","",'Grocery Purchases'!I348)</f>
        <v/>
      </c>
    </row>
    <row r="352" customFormat="false" ht="15" hidden="false" customHeight="true" outlineLevel="0" collapsed="false">
      <c r="A352" s="12" t="str">
        <f aca="false">IF('Grocery Purchases'!B349="","",'Grocery Purchases'!A349)</f>
        <v/>
      </c>
      <c r="B352" s="17" t="str">
        <f aca="false">IF('Grocery Purchases'!B349="","",'Grocery Purchases'!B349)</f>
        <v/>
      </c>
      <c r="C352" s="17" t="str">
        <f aca="false">IF('Grocery Purchases'!B349="","",'Grocery Purchases'!C349)</f>
        <v/>
      </c>
      <c r="D352" s="14" t="str">
        <f aca="false">IF('Grocery Purchases'!B349="","",'Grocery Purchases'!D349)</f>
        <v/>
      </c>
      <c r="E352" s="11" t="str">
        <f aca="false">IF('Grocery Purchases'!B349="","",'Grocery Purchases'!F349)</f>
        <v/>
      </c>
      <c r="F352" s="11" t="str">
        <f aca="false">IF('Grocery Purchases'!B349="","",'Grocery Purchases'!G349)</f>
        <v/>
      </c>
      <c r="G352" s="32" t="str">
        <f aca="false">IF('Grocery Purchases'!B349="","",'Grocery Purchases'!H349)</f>
        <v/>
      </c>
      <c r="H352" s="14" t="str">
        <f aca="false">IF('Grocery Purchases'!B349="","",'Grocery Purchases'!I349)</f>
        <v/>
      </c>
    </row>
    <row r="353" customFormat="false" ht="15" hidden="false" customHeight="true" outlineLevel="0" collapsed="false">
      <c r="A353" s="12" t="str">
        <f aca="false">IF('Grocery Purchases'!B350="","",'Grocery Purchases'!A350)</f>
        <v/>
      </c>
      <c r="B353" s="17" t="str">
        <f aca="false">IF('Grocery Purchases'!B350="","",'Grocery Purchases'!B350)</f>
        <v/>
      </c>
      <c r="C353" s="17" t="str">
        <f aca="false">IF('Grocery Purchases'!B350="","",'Grocery Purchases'!C350)</f>
        <v/>
      </c>
      <c r="D353" s="14" t="str">
        <f aca="false">IF('Grocery Purchases'!B350="","",'Grocery Purchases'!D350)</f>
        <v/>
      </c>
      <c r="E353" s="11" t="str">
        <f aca="false">IF('Grocery Purchases'!B350="","",'Grocery Purchases'!F350)</f>
        <v/>
      </c>
      <c r="F353" s="11" t="str">
        <f aca="false">IF('Grocery Purchases'!B350="","",'Grocery Purchases'!G350)</f>
        <v/>
      </c>
      <c r="G353" s="32" t="str">
        <f aca="false">IF('Grocery Purchases'!B350="","",'Grocery Purchases'!H350)</f>
        <v/>
      </c>
      <c r="H353" s="14" t="str">
        <f aca="false">IF('Grocery Purchases'!B350="","",'Grocery Purchases'!I350)</f>
        <v/>
      </c>
    </row>
    <row r="354" customFormat="false" ht="15" hidden="false" customHeight="true" outlineLevel="0" collapsed="false">
      <c r="A354" s="12" t="str">
        <f aca="false">IF('Grocery Purchases'!B351="","",'Grocery Purchases'!A351)</f>
        <v/>
      </c>
      <c r="B354" s="17" t="str">
        <f aca="false">IF('Grocery Purchases'!B351="","",'Grocery Purchases'!B351)</f>
        <v/>
      </c>
      <c r="C354" s="17" t="str">
        <f aca="false">IF('Grocery Purchases'!B351="","",'Grocery Purchases'!C351)</f>
        <v/>
      </c>
      <c r="D354" s="14" t="str">
        <f aca="false">IF('Grocery Purchases'!B351="","",'Grocery Purchases'!D351)</f>
        <v/>
      </c>
      <c r="E354" s="11" t="str">
        <f aca="false">IF('Grocery Purchases'!B351="","",'Grocery Purchases'!F351)</f>
        <v/>
      </c>
      <c r="F354" s="11" t="str">
        <f aca="false">IF('Grocery Purchases'!B351="","",'Grocery Purchases'!G351)</f>
        <v/>
      </c>
      <c r="G354" s="32" t="str">
        <f aca="false">IF('Grocery Purchases'!B351="","",'Grocery Purchases'!H351)</f>
        <v/>
      </c>
      <c r="H354" s="14" t="str">
        <f aca="false">IF('Grocery Purchases'!B351="","",'Grocery Purchases'!I351)</f>
        <v/>
      </c>
    </row>
    <row r="355" customFormat="false" ht="15" hidden="false" customHeight="true" outlineLevel="0" collapsed="false">
      <c r="A355" s="12" t="str">
        <f aca="false">IF('Grocery Purchases'!B352="","",'Grocery Purchases'!A352)</f>
        <v/>
      </c>
      <c r="B355" s="17" t="str">
        <f aca="false">IF('Grocery Purchases'!B352="","",'Grocery Purchases'!B352)</f>
        <v/>
      </c>
      <c r="C355" s="17" t="str">
        <f aca="false">IF('Grocery Purchases'!B352="","",'Grocery Purchases'!C352)</f>
        <v/>
      </c>
      <c r="D355" s="14" t="str">
        <f aca="false">IF('Grocery Purchases'!B352="","",'Grocery Purchases'!D352)</f>
        <v/>
      </c>
      <c r="E355" s="11" t="str">
        <f aca="false">IF('Grocery Purchases'!B352="","",'Grocery Purchases'!F352)</f>
        <v/>
      </c>
      <c r="F355" s="11" t="str">
        <f aca="false">IF('Grocery Purchases'!B352="","",'Grocery Purchases'!G352)</f>
        <v/>
      </c>
      <c r="G355" s="32" t="str">
        <f aca="false">IF('Grocery Purchases'!B352="","",'Grocery Purchases'!H352)</f>
        <v/>
      </c>
      <c r="H355" s="14" t="str">
        <f aca="false">IF('Grocery Purchases'!B352="","",'Grocery Purchases'!I352)</f>
        <v/>
      </c>
    </row>
    <row r="356" customFormat="false" ht="15" hidden="false" customHeight="true" outlineLevel="0" collapsed="false">
      <c r="A356" s="12" t="str">
        <f aca="false">IF('Grocery Purchases'!B353="","",'Grocery Purchases'!A353)</f>
        <v/>
      </c>
      <c r="B356" s="17" t="str">
        <f aca="false">IF('Grocery Purchases'!B353="","",'Grocery Purchases'!B353)</f>
        <v/>
      </c>
      <c r="C356" s="17" t="str">
        <f aca="false">IF('Grocery Purchases'!B353="","",'Grocery Purchases'!C353)</f>
        <v/>
      </c>
      <c r="D356" s="14" t="str">
        <f aca="false">IF('Grocery Purchases'!B353="","",'Grocery Purchases'!D353)</f>
        <v/>
      </c>
      <c r="E356" s="11" t="str">
        <f aca="false">IF('Grocery Purchases'!B353="","",'Grocery Purchases'!F353)</f>
        <v/>
      </c>
      <c r="F356" s="11" t="str">
        <f aca="false">IF('Grocery Purchases'!B353="","",'Grocery Purchases'!G353)</f>
        <v/>
      </c>
      <c r="G356" s="32" t="str">
        <f aca="false">IF('Grocery Purchases'!B353="","",'Grocery Purchases'!H353)</f>
        <v/>
      </c>
      <c r="H356" s="14" t="str">
        <f aca="false">IF('Grocery Purchases'!B353="","",'Grocery Purchases'!I353)</f>
        <v/>
      </c>
    </row>
    <row r="357" customFormat="false" ht="15" hidden="false" customHeight="true" outlineLevel="0" collapsed="false">
      <c r="A357" s="12" t="str">
        <f aca="false">IF('Grocery Purchases'!B354="","",'Grocery Purchases'!A354)</f>
        <v/>
      </c>
      <c r="B357" s="17" t="str">
        <f aca="false">IF('Grocery Purchases'!B354="","",'Grocery Purchases'!B354)</f>
        <v/>
      </c>
      <c r="C357" s="17" t="str">
        <f aca="false">IF('Grocery Purchases'!B354="","",'Grocery Purchases'!C354)</f>
        <v/>
      </c>
      <c r="D357" s="14" t="str">
        <f aca="false">IF('Grocery Purchases'!B354="","",'Grocery Purchases'!D354)</f>
        <v/>
      </c>
      <c r="E357" s="11" t="str">
        <f aca="false">IF('Grocery Purchases'!B354="","",'Grocery Purchases'!F354)</f>
        <v/>
      </c>
      <c r="F357" s="11" t="str">
        <f aca="false">IF('Grocery Purchases'!B354="","",'Grocery Purchases'!G354)</f>
        <v/>
      </c>
      <c r="G357" s="32" t="str">
        <f aca="false">IF('Grocery Purchases'!B354="","",'Grocery Purchases'!H354)</f>
        <v/>
      </c>
      <c r="H357" s="14" t="str">
        <f aca="false">IF('Grocery Purchases'!B354="","",'Grocery Purchases'!I354)</f>
        <v/>
      </c>
    </row>
    <row r="358" customFormat="false" ht="15" hidden="false" customHeight="true" outlineLevel="0" collapsed="false">
      <c r="A358" s="12" t="str">
        <f aca="false">IF('Grocery Purchases'!B355="","",'Grocery Purchases'!A355)</f>
        <v/>
      </c>
      <c r="B358" s="17" t="str">
        <f aca="false">IF('Grocery Purchases'!B355="","",'Grocery Purchases'!B355)</f>
        <v/>
      </c>
      <c r="C358" s="17" t="str">
        <f aca="false">IF('Grocery Purchases'!B355="","",'Grocery Purchases'!C355)</f>
        <v/>
      </c>
      <c r="D358" s="14" t="str">
        <f aca="false">IF('Grocery Purchases'!B355="","",'Grocery Purchases'!D355)</f>
        <v/>
      </c>
      <c r="E358" s="11" t="str">
        <f aca="false">IF('Grocery Purchases'!B355="","",'Grocery Purchases'!F355)</f>
        <v/>
      </c>
      <c r="F358" s="11" t="str">
        <f aca="false">IF('Grocery Purchases'!B355="","",'Grocery Purchases'!G355)</f>
        <v/>
      </c>
      <c r="G358" s="32" t="str">
        <f aca="false">IF('Grocery Purchases'!B355="","",'Grocery Purchases'!H355)</f>
        <v/>
      </c>
      <c r="H358" s="14" t="str">
        <f aca="false">IF('Grocery Purchases'!B355="","",'Grocery Purchases'!I355)</f>
        <v/>
      </c>
    </row>
    <row r="359" customFormat="false" ht="15" hidden="false" customHeight="true" outlineLevel="0" collapsed="false">
      <c r="A359" s="12" t="str">
        <f aca="false">IF('Grocery Purchases'!B356="","",'Grocery Purchases'!A356)</f>
        <v/>
      </c>
      <c r="B359" s="17" t="str">
        <f aca="false">IF('Grocery Purchases'!B356="","",'Grocery Purchases'!B356)</f>
        <v/>
      </c>
      <c r="C359" s="17" t="str">
        <f aca="false">IF('Grocery Purchases'!B356="","",'Grocery Purchases'!C356)</f>
        <v/>
      </c>
      <c r="D359" s="14" t="str">
        <f aca="false">IF('Grocery Purchases'!B356="","",'Grocery Purchases'!D356)</f>
        <v/>
      </c>
      <c r="E359" s="11" t="str">
        <f aca="false">IF('Grocery Purchases'!B356="","",'Grocery Purchases'!F356)</f>
        <v/>
      </c>
      <c r="F359" s="11" t="str">
        <f aca="false">IF('Grocery Purchases'!B356="","",'Grocery Purchases'!G356)</f>
        <v/>
      </c>
      <c r="G359" s="32" t="str">
        <f aca="false">IF('Grocery Purchases'!B356="","",'Grocery Purchases'!H356)</f>
        <v/>
      </c>
      <c r="H359" s="14" t="str">
        <f aca="false">IF('Grocery Purchases'!B356="","",'Grocery Purchases'!I356)</f>
        <v/>
      </c>
    </row>
    <row r="360" customFormat="false" ht="15" hidden="false" customHeight="true" outlineLevel="0" collapsed="false">
      <c r="A360" s="12" t="str">
        <f aca="false">IF('Grocery Purchases'!B357="","",'Grocery Purchases'!A357)</f>
        <v/>
      </c>
      <c r="B360" s="17" t="str">
        <f aca="false">IF('Grocery Purchases'!B357="","",'Grocery Purchases'!B357)</f>
        <v/>
      </c>
      <c r="C360" s="17" t="str">
        <f aca="false">IF('Grocery Purchases'!B357="","",'Grocery Purchases'!C357)</f>
        <v/>
      </c>
      <c r="D360" s="14" t="str">
        <f aca="false">IF('Grocery Purchases'!B357="","",'Grocery Purchases'!D357)</f>
        <v/>
      </c>
      <c r="E360" s="11" t="str">
        <f aca="false">IF('Grocery Purchases'!B357="","",'Grocery Purchases'!F357)</f>
        <v/>
      </c>
      <c r="F360" s="11" t="str">
        <f aca="false">IF('Grocery Purchases'!B357="","",'Grocery Purchases'!G357)</f>
        <v/>
      </c>
      <c r="G360" s="32" t="str">
        <f aca="false">IF('Grocery Purchases'!B357="","",'Grocery Purchases'!H357)</f>
        <v/>
      </c>
      <c r="H360" s="14" t="str">
        <f aca="false">IF('Grocery Purchases'!B357="","",'Grocery Purchases'!I357)</f>
        <v/>
      </c>
    </row>
    <row r="361" customFormat="false" ht="15" hidden="false" customHeight="true" outlineLevel="0" collapsed="false">
      <c r="A361" s="12" t="str">
        <f aca="false">IF('Grocery Purchases'!B358="","",'Grocery Purchases'!A358)</f>
        <v/>
      </c>
      <c r="B361" s="17" t="str">
        <f aca="false">IF('Grocery Purchases'!B358="","",'Grocery Purchases'!B358)</f>
        <v/>
      </c>
      <c r="C361" s="17" t="str">
        <f aca="false">IF('Grocery Purchases'!B358="","",'Grocery Purchases'!C358)</f>
        <v/>
      </c>
      <c r="D361" s="14" t="str">
        <f aca="false">IF('Grocery Purchases'!B358="","",'Grocery Purchases'!D358)</f>
        <v/>
      </c>
      <c r="E361" s="11" t="str">
        <f aca="false">IF('Grocery Purchases'!B358="","",'Grocery Purchases'!F358)</f>
        <v/>
      </c>
      <c r="F361" s="11" t="str">
        <f aca="false">IF('Grocery Purchases'!B358="","",'Grocery Purchases'!G358)</f>
        <v/>
      </c>
      <c r="G361" s="32" t="str">
        <f aca="false">IF('Grocery Purchases'!B358="","",'Grocery Purchases'!H358)</f>
        <v/>
      </c>
      <c r="H361" s="14" t="str">
        <f aca="false">IF('Grocery Purchases'!B358="","",'Grocery Purchases'!I358)</f>
        <v/>
      </c>
    </row>
    <row r="362" customFormat="false" ht="15" hidden="false" customHeight="true" outlineLevel="0" collapsed="false">
      <c r="A362" s="12" t="str">
        <f aca="false">IF('Grocery Purchases'!B359="","",'Grocery Purchases'!A359)</f>
        <v/>
      </c>
      <c r="B362" s="17" t="str">
        <f aca="false">IF('Grocery Purchases'!B359="","",'Grocery Purchases'!B359)</f>
        <v/>
      </c>
      <c r="C362" s="17" t="str">
        <f aca="false">IF('Grocery Purchases'!B359="","",'Grocery Purchases'!C359)</f>
        <v/>
      </c>
      <c r="D362" s="14" t="str">
        <f aca="false">IF('Grocery Purchases'!B359="","",'Grocery Purchases'!D359)</f>
        <v/>
      </c>
      <c r="E362" s="11" t="str">
        <f aca="false">IF('Grocery Purchases'!B359="","",'Grocery Purchases'!F359)</f>
        <v/>
      </c>
      <c r="F362" s="11" t="str">
        <f aca="false">IF('Grocery Purchases'!B359="","",'Grocery Purchases'!G359)</f>
        <v/>
      </c>
      <c r="G362" s="32" t="str">
        <f aca="false">IF('Grocery Purchases'!B359="","",'Grocery Purchases'!H359)</f>
        <v/>
      </c>
      <c r="H362" s="14" t="str">
        <f aca="false">IF('Grocery Purchases'!B359="","",'Grocery Purchases'!I359)</f>
        <v/>
      </c>
    </row>
    <row r="363" customFormat="false" ht="15" hidden="false" customHeight="true" outlineLevel="0" collapsed="false">
      <c r="A363" s="12" t="str">
        <f aca="false">IF('Grocery Purchases'!B360="","",'Grocery Purchases'!A360)</f>
        <v/>
      </c>
      <c r="B363" s="17" t="str">
        <f aca="false">IF('Grocery Purchases'!B360="","",'Grocery Purchases'!B360)</f>
        <v/>
      </c>
      <c r="C363" s="17" t="str">
        <f aca="false">IF('Grocery Purchases'!B360="","",'Grocery Purchases'!C360)</f>
        <v/>
      </c>
      <c r="D363" s="14" t="str">
        <f aca="false">IF('Grocery Purchases'!B360="","",'Grocery Purchases'!D360)</f>
        <v/>
      </c>
      <c r="E363" s="11" t="str">
        <f aca="false">IF('Grocery Purchases'!B360="","",'Grocery Purchases'!F360)</f>
        <v/>
      </c>
      <c r="F363" s="11" t="str">
        <f aca="false">IF('Grocery Purchases'!B360="","",'Grocery Purchases'!G360)</f>
        <v/>
      </c>
      <c r="G363" s="32" t="str">
        <f aca="false">IF('Grocery Purchases'!B360="","",'Grocery Purchases'!H360)</f>
        <v/>
      </c>
      <c r="H363" s="14" t="str">
        <f aca="false">IF('Grocery Purchases'!B360="","",'Grocery Purchases'!I360)</f>
        <v/>
      </c>
    </row>
    <row r="364" customFormat="false" ht="15" hidden="false" customHeight="true" outlineLevel="0" collapsed="false">
      <c r="A364" s="12" t="str">
        <f aca="false">IF('Grocery Purchases'!B361="","",'Grocery Purchases'!A361)</f>
        <v/>
      </c>
      <c r="B364" s="17" t="str">
        <f aca="false">IF('Grocery Purchases'!B361="","",'Grocery Purchases'!B361)</f>
        <v/>
      </c>
      <c r="C364" s="17" t="str">
        <f aca="false">IF('Grocery Purchases'!B361="","",'Grocery Purchases'!C361)</f>
        <v/>
      </c>
      <c r="D364" s="14" t="str">
        <f aca="false">IF('Grocery Purchases'!B361="","",'Grocery Purchases'!D361)</f>
        <v/>
      </c>
      <c r="E364" s="11" t="str">
        <f aca="false">IF('Grocery Purchases'!B361="","",'Grocery Purchases'!F361)</f>
        <v/>
      </c>
      <c r="F364" s="11" t="str">
        <f aca="false">IF('Grocery Purchases'!B361="","",'Grocery Purchases'!G361)</f>
        <v/>
      </c>
      <c r="G364" s="32" t="str">
        <f aca="false">IF('Grocery Purchases'!B361="","",'Grocery Purchases'!H361)</f>
        <v/>
      </c>
      <c r="H364" s="14" t="str">
        <f aca="false">IF('Grocery Purchases'!B361="","",'Grocery Purchases'!I361)</f>
        <v/>
      </c>
    </row>
    <row r="365" customFormat="false" ht="15" hidden="false" customHeight="true" outlineLevel="0" collapsed="false">
      <c r="A365" s="12" t="str">
        <f aca="false">IF('Grocery Purchases'!B362="","",'Grocery Purchases'!A362)</f>
        <v/>
      </c>
      <c r="B365" s="17" t="str">
        <f aca="false">IF('Grocery Purchases'!B362="","",'Grocery Purchases'!B362)</f>
        <v/>
      </c>
      <c r="C365" s="17" t="str">
        <f aca="false">IF('Grocery Purchases'!B362="","",'Grocery Purchases'!C362)</f>
        <v/>
      </c>
      <c r="D365" s="14" t="str">
        <f aca="false">IF('Grocery Purchases'!B362="","",'Grocery Purchases'!D362)</f>
        <v/>
      </c>
      <c r="E365" s="11" t="str">
        <f aca="false">IF('Grocery Purchases'!B362="","",'Grocery Purchases'!F362)</f>
        <v/>
      </c>
      <c r="F365" s="11" t="str">
        <f aca="false">IF('Grocery Purchases'!B362="","",'Grocery Purchases'!G362)</f>
        <v/>
      </c>
      <c r="G365" s="32" t="str">
        <f aca="false">IF('Grocery Purchases'!B362="","",'Grocery Purchases'!H362)</f>
        <v/>
      </c>
      <c r="H365" s="14" t="str">
        <f aca="false">IF('Grocery Purchases'!B362="","",'Grocery Purchases'!I362)</f>
        <v/>
      </c>
    </row>
    <row r="366" customFormat="false" ht="15" hidden="false" customHeight="true" outlineLevel="0" collapsed="false">
      <c r="A366" s="12" t="str">
        <f aca="false">IF('Grocery Purchases'!B363="","",'Grocery Purchases'!A363)</f>
        <v/>
      </c>
      <c r="B366" s="17" t="str">
        <f aca="false">IF('Grocery Purchases'!B363="","",'Grocery Purchases'!B363)</f>
        <v/>
      </c>
      <c r="C366" s="17" t="str">
        <f aca="false">IF('Grocery Purchases'!B363="","",'Grocery Purchases'!C363)</f>
        <v/>
      </c>
      <c r="D366" s="14" t="str">
        <f aca="false">IF('Grocery Purchases'!B363="","",'Grocery Purchases'!D363)</f>
        <v/>
      </c>
      <c r="E366" s="11" t="str">
        <f aca="false">IF('Grocery Purchases'!B363="","",'Grocery Purchases'!F363)</f>
        <v/>
      </c>
      <c r="F366" s="11" t="str">
        <f aca="false">IF('Grocery Purchases'!B363="","",'Grocery Purchases'!G363)</f>
        <v/>
      </c>
      <c r="G366" s="32" t="str">
        <f aca="false">IF('Grocery Purchases'!B363="","",'Grocery Purchases'!H363)</f>
        <v/>
      </c>
      <c r="H366" s="14" t="str">
        <f aca="false">IF('Grocery Purchases'!B363="","",'Grocery Purchases'!I363)</f>
        <v/>
      </c>
    </row>
    <row r="367" customFormat="false" ht="15" hidden="false" customHeight="true" outlineLevel="0" collapsed="false">
      <c r="A367" s="12" t="str">
        <f aca="false">IF('Grocery Purchases'!B364="","",'Grocery Purchases'!A364)</f>
        <v/>
      </c>
      <c r="B367" s="17" t="str">
        <f aca="false">IF('Grocery Purchases'!B364="","",'Grocery Purchases'!B364)</f>
        <v/>
      </c>
      <c r="C367" s="17" t="str">
        <f aca="false">IF('Grocery Purchases'!B364="","",'Grocery Purchases'!C364)</f>
        <v/>
      </c>
      <c r="D367" s="14" t="str">
        <f aca="false">IF('Grocery Purchases'!B364="","",'Grocery Purchases'!D364)</f>
        <v/>
      </c>
      <c r="E367" s="11" t="str">
        <f aca="false">IF('Grocery Purchases'!B364="","",'Grocery Purchases'!F364)</f>
        <v/>
      </c>
      <c r="F367" s="11" t="str">
        <f aca="false">IF('Grocery Purchases'!B364="","",'Grocery Purchases'!G364)</f>
        <v/>
      </c>
      <c r="G367" s="32" t="str">
        <f aca="false">IF('Grocery Purchases'!B364="","",'Grocery Purchases'!H364)</f>
        <v/>
      </c>
      <c r="H367" s="14" t="str">
        <f aca="false">IF('Grocery Purchases'!B364="","",'Grocery Purchases'!I364)</f>
        <v/>
      </c>
    </row>
    <row r="368" customFormat="false" ht="15" hidden="false" customHeight="true" outlineLevel="0" collapsed="false">
      <c r="A368" s="12" t="str">
        <f aca="false">IF('Grocery Purchases'!B365="","",'Grocery Purchases'!A365)</f>
        <v/>
      </c>
      <c r="B368" s="17" t="str">
        <f aca="false">IF('Grocery Purchases'!B365="","",'Grocery Purchases'!B365)</f>
        <v/>
      </c>
      <c r="C368" s="17" t="str">
        <f aca="false">IF('Grocery Purchases'!B365="","",'Grocery Purchases'!C365)</f>
        <v/>
      </c>
      <c r="D368" s="14" t="str">
        <f aca="false">IF('Grocery Purchases'!B365="","",'Grocery Purchases'!D365)</f>
        <v/>
      </c>
      <c r="E368" s="11" t="str">
        <f aca="false">IF('Grocery Purchases'!B365="","",'Grocery Purchases'!F365)</f>
        <v/>
      </c>
      <c r="F368" s="11" t="str">
        <f aca="false">IF('Grocery Purchases'!B365="","",'Grocery Purchases'!G365)</f>
        <v/>
      </c>
      <c r="G368" s="32" t="str">
        <f aca="false">IF('Grocery Purchases'!B365="","",'Grocery Purchases'!H365)</f>
        <v/>
      </c>
      <c r="H368" s="14" t="str">
        <f aca="false">IF('Grocery Purchases'!B365="","",'Grocery Purchases'!I365)</f>
        <v/>
      </c>
    </row>
    <row r="369" customFormat="false" ht="15" hidden="false" customHeight="true" outlineLevel="0" collapsed="false">
      <c r="A369" s="12" t="str">
        <f aca="false">IF('Grocery Purchases'!B366="","",'Grocery Purchases'!A366)</f>
        <v/>
      </c>
      <c r="B369" s="17" t="str">
        <f aca="false">IF('Grocery Purchases'!B366="","",'Grocery Purchases'!B366)</f>
        <v/>
      </c>
      <c r="C369" s="17" t="str">
        <f aca="false">IF('Grocery Purchases'!B366="","",'Grocery Purchases'!C366)</f>
        <v/>
      </c>
      <c r="D369" s="14" t="str">
        <f aca="false">IF('Grocery Purchases'!B366="","",'Grocery Purchases'!D366)</f>
        <v/>
      </c>
      <c r="E369" s="11" t="str">
        <f aca="false">IF('Grocery Purchases'!B366="","",'Grocery Purchases'!F366)</f>
        <v/>
      </c>
      <c r="F369" s="11" t="str">
        <f aca="false">IF('Grocery Purchases'!B366="","",'Grocery Purchases'!G366)</f>
        <v/>
      </c>
      <c r="G369" s="32" t="str">
        <f aca="false">IF('Grocery Purchases'!B366="","",'Grocery Purchases'!H366)</f>
        <v/>
      </c>
      <c r="H369" s="14" t="str">
        <f aca="false">IF('Grocery Purchases'!B366="","",'Grocery Purchases'!I366)</f>
        <v/>
      </c>
    </row>
    <row r="370" customFormat="false" ht="15" hidden="false" customHeight="true" outlineLevel="0" collapsed="false">
      <c r="A370" s="12" t="str">
        <f aca="false">IF('Grocery Purchases'!B367="","",'Grocery Purchases'!A367)</f>
        <v/>
      </c>
      <c r="B370" s="17" t="str">
        <f aca="false">IF('Grocery Purchases'!B367="","",'Grocery Purchases'!B367)</f>
        <v/>
      </c>
      <c r="C370" s="17" t="str">
        <f aca="false">IF('Grocery Purchases'!B367="","",'Grocery Purchases'!C367)</f>
        <v/>
      </c>
      <c r="D370" s="14" t="str">
        <f aca="false">IF('Grocery Purchases'!B367="","",'Grocery Purchases'!D367)</f>
        <v/>
      </c>
      <c r="E370" s="11" t="str">
        <f aca="false">IF('Grocery Purchases'!B367="","",'Grocery Purchases'!F367)</f>
        <v/>
      </c>
      <c r="F370" s="11" t="str">
        <f aca="false">IF('Grocery Purchases'!B367="","",'Grocery Purchases'!G367)</f>
        <v/>
      </c>
      <c r="G370" s="32" t="str">
        <f aca="false">IF('Grocery Purchases'!B367="","",'Grocery Purchases'!H367)</f>
        <v/>
      </c>
      <c r="H370" s="14" t="str">
        <f aca="false">IF('Grocery Purchases'!B367="","",'Grocery Purchases'!I367)</f>
        <v/>
      </c>
    </row>
    <row r="371" customFormat="false" ht="15" hidden="false" customHeight="true" outlineLevel="0" collapsed="false">
      <c r="A371" s="12" t="str">
        <f aca="false">IF('Grocery Purchases'!B368="","",'Grocery Purchases'!A368)</f>
        <v/>
      </c>
      <c r="B371" s="17" t="str">
        <f aca="false">IF('Grocery Purchases'!B368="","",'Grocery Purchases'!B368)</f>
        <v/>
      </c>
      <c r="C371" s="17" t="str">
        <f aca="false">IF('Grocery Purchases'!B368="","",'Grocery Purchases'!C368)</f>
        <v/>
      </c>
      <c r="D371" s="14" t="str">
        <f aca="false">IF('Grocery Purchases'!B368="","",'Grocery Purchases'!D368)</f>
        <v/>
      </c>
      <c r="E371" s="11" t="str">
        <f aca="false">IF('Grocery Purchases'!B368="","",'Grocery Purchases'!F368)</f>
        <v/>
      </c>
      <c r="F371" s="11" t="str">
        <f aca="false">IF('Grocery Purchases'!B368="","",'Grocery Purchases'!G368)</f>
        <v/>
      </c>
      <c r="G371" s="32" t="str">
        <f aca="false">IF('Grocery Purchases'!B368="","",'Grocery Purchases'!H368)</f>
        <v/>
      </c>
      <c r="H371" s="14" t="str">
        <f aca="false">IF('Grocery Purchases'!B368="","",'Grocery Purchases'!I368)</f>
        <v/>
      </c>
    </row>
    <row r="372" customFormat="false" ht="15" hidden="false" customHeight="true" outlineLevel="0" collapsed="false">
      <c r="A372" s="12" t="str">
        <f aca="false">IF('Grocery Purchases'!B369="","",'Grocery Purchases'!A369)</f>
        <v/>
      </c>
      <c r="B372" s="17" t="str">
        <f aca="false">IF('Grocery Purchases'!B369="","",'Grocery Purchases'!B369)</f>
        <v/>
      </c>
      <c r="C372" s="17" t="str">
        <f aca="false">IF('Grocery Purchases'!B369="","",'Grocery Purchases'!C369)</f>
        <v/>
      </c>
      <c r="D372" s="14" t="str">
        <f aca="false">IF('Grocery Purchases'!B369="","",'Grocery Purchases'!D369)</f>
        <v/>
      </c>
      <c r="E372" s="11" t="str">
        <f aca="false">IF('Grocery Purchases'!B369="","",'Grocery Purchases'!F369)</f>
        <v/>
      </c>
      <c r="F372" s="11" t="str">
        <f aca="false">IF('Grocery Purchases'!B369="","",'Grocery Purchases'!G369)</f>
        <v/>
      </c>
      <c r="G372" s="32" t="str">
        <f aca="false">IF('Grocery Purchases'!B369="","",'Grocery Purchases'!H369)</f>
        <v/>
      </c>
      <c r="H372" s="14" t="str">
        <f aca="false">IF('Grocery Purchases'!B369="","",'Grocery Purchases'!I369)</f>
        <v/>
      </c>
    </row>
    <row r="373" customFormat="false" ht="15" hidden="false" customHeight="true" outlineLevel="0" collapsed="false">
      <c r="A373" s="12" t="str">
        <f aca="false">IF('Grocery Purchases'!B370="","",'Grocery Purchases'!A370)</f>
        <v/>
      </c>
      <c r="B373" s="17" t="str">
        <f aca="false">IF('Grocery Purchases'!B370="","",'Grocery Purchases'!B370)</f>
        <v/>
      </c>
      <c r="C373" s="17" t="str">
        <f aca="false">IF('Grocery Purchases'!B370="","",'Grocery Purchases'!C370)</f>
        <v/>
      </c>
      <c r="D373" s="14" t="str">
        <f aca="false">IF('Grocery Purchases'!B370="","",'Grocery Purchases'!D370)</f>
        <v/>
      </c>
      <c r="E373" s="11" t="str">
        <f aca="false">IF('Grocery Purchases'!B370="","",'Grocery Purchases'!F370)</f>
        <v/>
      </c>
      <c r="F373" s="11" t="str">
        <f aca="false">IF('Grocery Purchases'!B370="","",'Grocery Purchases'!G370)</f>
        <v/>
      </c>
      <c r="G373" s="32" t="str">
        <f aca="false">IF('Grocery Purchases'!B370="","",'Grocery Purchases'!H370)</f>
        <v/>
      </c>
      <c r="H373" s="14" t="str">
        <f aca="false">IF('Grocery Purchases'!B370="","",'Grocery Purchases'!I370)</f>
        <v/>
      </c>
    </row>
    <row r="374" customFormat="false" ht="15" hidden="false" customHeight="true" outlineLevel="0" collapsed="false">
      <c r="A374" s="12" t="str">
        <f aca="false">IF('Grocery Purchases'!B371="","",'Grocery Purchases'!A371)</f>
        <v/>
      </c>
      <c r="B374" s="17" t="str">
        <f aca="false">IF('Grocery Purchases'!B371="","",'Grocery Purchases'!B371)</f>
        <v/>
      </c>
      <c r="C374" s="17" t="str">
        <f aca="false">IF('Grocery Purchases'!B371="","",'Grocery Purchases'!C371)</f>
        <v/>
      </c>
      <c r="D374" s="14" t="str">
        <f aca="false">IF('Grocery Purchases'!B371="","",'Grocery Purchases'!D371)</f>
        <v/>
      </c>
      <c r="E374" s="11" t="str">
        <f aca="false">IF('Grocery Purchases'!B371="","",'Grocery Purchases'!F371)</f>
        <v/>
      </c>
      <c r="F374" s="11" t="str">
        <f aca="false">IF('Grocery Purchases'!B371="","",'Grocery Purchases'!G371)</f>
        <v/>
      </c>
      <c r="G374" s="32" t="str">
        <f aca="false">IF('Grocery Purchases'!B371="","",'Grocery Purchases'!H371)</f>
        <v/>
      </c>
      <c r="H374" s="14" t="str">
        <f aca="false">IF('Grocery Purchases'!B371="","",'Grocery Purchases'!I371)</f>
        <v/>
      </c>
    </row>
    <row r="375" customFormat="false" ht="15" hidden="false" customHeight="true" outlineLevel="0" collapsed="false">
      <c r="A375" s="12" t="str">
        <f aca="false">IF('Grocery Purchases'!B372="","",'Grocery Purchases'!A372)</f>
        <v/>
      </c>
      <c r="B375" s="17" t="str">
        <f aca="false">IF('Grocery Purchases'!B372="","",'Grocery Purchases'!B372)</f>
        <v/>
      </c>
      <c r="C375" s="17" t="str">
        <f aca="false">IF('Grocery Purchases'!B372="","",'Grocery Purchases'!C372)</f>
        <v/>
      </c>
      <c r="D375" s="14" t="str">
        <f aca="false">IF('Grocery Purchases'!B372="","",'Grocery Purchases'!D372)</f>
        <v/>
      </c>
      <c r="E375" s="11" t="str">
        <f aca="false">IF('Grocery Purchases'!B372="","",'Grocery Purchases'!F372)</f>
        <v/>
      </c>
      <c r="F375" s="11" t="str">
        <f aca="false">IF('Grocery Purchases'!B372="","",'Grocery Purchases'!G372)</f>
        <v/>
      </c>
      <c r="G375" s="32" t="str">
        <f aca="false">IF('Grocery Purchases'!B372="","",'Grocery Purchases'!H372)</f>
        <v/>
      </c>
      <c r="H375" s="14" t="str">
        <f aca="false">IF('Grocery Purchases'!B372="","",'Grocery Purchases'!I372)</f>
        <v/>
      </c>
    </row>
    <row r="376" customFormat="false" ht="15" hidden="false" customHeight="true" outlineLevel="0" collapsed="false">
      <c r="A376" s="12" t="str">
        <f aca="false">IF('Grocery Purchases'!B373="","",'Grocery Purchases'!A373)</f>
        <v/>
      </c>
      <c r="B376" s="17" t="str">
        <f aca="false">IF('Grocery Purchases'!B373="","",'Grocery Purchases'!B373)</f>
        <v/>
      </c>
      <c r="C376" s="17" t="str">
        <f aca="false">IF('Grocery Purchases'!B373="","",'Grocery Purchases'!C373)</f>
        <v/>
      </c>
      <c r="D376" s="14" t="str">
        <f aca="false">IF('Grocery Purchases'!B373="","",'Grocery Purchases'!D373)</f>
        <v/>
      </c>
      <c r="E376" s="11" t="str">
        <f aca="false">IF('Grocery Purchases'!B373="","",'Grocery Purchases'!F373)</f>
        <v/>
      </c>
      <c r="F376" s="11" t="str">
        <f aca="false">IF('Grocery Purchases'!B373="","",'Grocery Purchases'!G373)</f>
        <v/>
      </c>
      <c r="G376" s="32" t="str">
        <f aca="false">IF('Grocery Purchases'!B373="","",'Grocery Purchases'!H373)</f>
        <v/>
      </c>
      <c r="H376" s="14" t="str">
        <f aca="false">IF('Grocery Purchases'!B373="","",'Grocery Purchases'!I373)</f>
        <v/>
      </c>
    </row>
    <row r="377" customFormat="false" ht="15" hidden="false" customHeight="true" outlineLevel="0" collapsed="false">
      <c r="A377" s="12" t="str">
        <f aca="false">IF('Grocery Purchases'!B374="","",'Grocery Purchases'!A374)</f>
        <v/>
      </c>
      <c r="B377" s="17" t="str">
        <f aca="false">IF('Grocery Purchases'!B374="","",'Grocery Purchases'!B374)</f>
        <v/>
      </c>
      <c r="C377" s="17" t="str">
        <f aca="false">IF('Grocery Purchases'!B374="","",'Grocery Purchases'!C374)</f>
        <v/>
      </c>
      <c r="D377" s="14" t="str">
        <f aca="false">IF('Grocery Purchases'!B374="","",'Grocery Purchases'!D374)</f>
        <v/>
      </c>
      <c r="E377" s="11" t="str">
        <f aca="false">IF('Grocery Purchases'!B374="","",'Grocery Purchases'!F374)</f>
        <v/>
      </c>
      <c r="F377" s="11" t="str">
        <f aca="false">IF('Grocery Purchases'!B374="","",'Grocery Purchases'!G374)</f>
        <v/>
      </c>
      <c r="G377" s="32" t="str">
        <f aca="false">IF('Grocery Purchases'!B374="","",'Grocery Purchases'!H374)</f>
        <v/>
      </c>
      <c r="H377" s="14" t="str">
        <f aca="false">IF('Grocery Purchases'!B374="","",'Grocery Purchases'!I374)</f>
        <v/>
      </c>
    </row>
    <row r="378" customFormat="false" ht="15" hidden="false" customHeight="true" outlineLevel="0" collapsed="false">
      <c r="A378" s="12" t="str">
        <f aca="false">IF('Grocery Purchases'!B375="","",'Grocery Purchases'!A375)</f>
        <v/>
      </c>
      <c r="B378" s="17" t="str">
        <f aca="false">IF('Grocery Purchases'!B375="","",'Grocery Purchases'!B375)</f>
        <v/>
      </c>
      <c r="C378" s="17" t="str">
        <f aca="false">IF('Grocery Purchases'!B375="","",'Grocery Purchases'!C375)</f>
        <v/>
      </c>
      <c r="D378" s="14" t="str">
        <f aca="false">IF('Grocery Purchases'!B375="","",'Grocery Purchases'!D375)</f>
        <v/>
      </c>
      <c r="E378" s="11" t="str">
        <f aca="false">IF('Grocery Purchases'!B375="","",'Grocery Purchases'!F375)</f>
        <v/>
      </c>
      <c r="F378" s="11" t="str">
        <f aca="false">IF('Grocery Purchases'!B375="","",'Grocery Purchases'!G375)</f>
        <v/>
      </c>
      <c r="G378" s="32" t="str">
        <f aca="false">IF('Grocery Purchases'!B375="","",'Grocery Purchases'!H375)</f>
        <v/>
      </c>
      <c r="H378" s="14" t="str">
        <f aca="false">IF('Grocery Purchases'!B375="","",'Grocery Purchases'!I375)</f>
        <v/>
      </c>
    </row>
    <row r="379" customFormat="false" ht="15" hidden="false" customHeight="true" outlineLevel="0" collapsed="false">
      <c r="A379" s="12" t="str">
        <f aca="false">IF('Grocery Purchases'!B376="","",'Grocery Purchases'!A376)</f>
        <v/>
      </c>
      <c r="B379" s="17" t="str">
        <f aca="false">IF('Grocery Purchases'!B376="","",'Grocery Purchases'!B376)</f>
        <v/>
      </c>
      <c r="C379" s="17" t="str">
        <f aca="false">IF('Grocery Purchases'!B376="","",'Grocery Purchases'!C376)</f>
        <v/>
      </c>
      <c r="D379" s="14" t="str">
        <f aca="false">IF('Grocery Purchases'!B376="","",'Grocery Purchases'!D376)</f>
        <v/>
      </c>
      <c r="E379" s="11" t="str">
        <f aca="false">IF('Grocery Purchases'!B376="","",'Grocery Purchases'!F376)</f>
        <v/>
      </c>
      <c r="F379" s="11" t="str">
        <f aca="false">IF('Grocery Purchases'!B376="","",'Grocery Purchases'!G376)</f>
        <v/>
      </c>
      <c r="G379" s="32" t="str">
        <f aca="false">IF('Grocery Purchases'!B376="","",'Grocery Purchases'!H376)</f>
        <v/>
      </c>
      <c r="H379" s="14" t="str">
        <f aca="false">IF('Grocery Purchases'!B376="","",'Grocery Purchases'!I376)</f>
        <v/>
      </c>
    </row>
    <row r="380" customFormat="false" ht="15" hidden="false" customHeight="true" outlineLevel="0" collapsed="false">
      <c r="A380" s="12" t="str">
        <f aca="false">IF('Grocery Purchases'!B377="","",'Grocery Purchases'!A377)</f>
        <v/>
      </c>
      <c r="B380" s="17" t="str">
        <f aca="false">IF('Grocery Purchases'!B377="","",'Grocery Purchases'!B377)</f>
        <v/>
      </c>
      <c r="C380" s="17" t="str">
        <f aca="false">IF('Grocery Purchases'!B377="","",'Grocery Purchases'!C377)</f>
        <v/>
      </c>
      <c r="D380" s="14" t="str">
        <f aca="false">IF('Grocery Purchases'!B377="","",'Grocery Purchases'!D377)</f>
        <v/>
      </c>
      <c r="E380" s="11" t="str">
        <f aca="false">IF('Grocery Purchases'!B377="","",'Grocery Purchases'!F377)</f>
        <v/>
      </c>
      <c r="F380" s="11" t="str">
        <f aca="false">IF('Grocery Purchases'!B377="","",'Grocery Purchases'!G377)</f>
        <v/>
      </c>
      <c r="G380" s="32" t="str">
        <f aca="false">IF('Grocery Purchases'!B377="","",'Grocery Purchases'!H377)</f>
        <v/>
      </c>
      <c r="H380" s="14" t="str">
        <f aca="false">IF('Grocery Purchases'!B377="","",'Grocery Purchases'!I377)</f>
        <v/>
      </c>
    </row>
    <row r="381" customFormat="false" ht="15" hidden="false" customHeight="true" outlineLevel="0" collapsed="false">
      <c r="A381" s="12" t="str">
        <f aca="false">IF('Grocery Purchases'!B378="","",'Grocery Purchases'!A378)</f>
        <v/>
      </c>
      <c r="B381" s="17" t="str">
        <f aca="false">IF('Grocery Purchases'!B378="","",'Grocery Purchases'!B378)</f>
        <v/>
      </c>
      <c r="C381" s="17" t="str">
        <f aca="false">IF('Grocery Purchases'!B378="","",'Grocery Purchases'!C378)</f>
        <v/>
      </c>
      <c r="D381" s="14" t="str">
        <f aca="false">IF('Grocery Purchases'!B378="","",'Grocery Purchases'!D378)</f>
        <v/>
      </c>
      <c r="E381" s="11" t="str">
        <f aca="false">IF('Grocery Purchases'!B378="","",'Grocery Purchases'!F378)</f>
        <v/>
      </c>
      <c r="F381" s="11" t="str">
        <f aca="false">IF('Grocery Purchases'!B378="","",'Grocery Purchases'!G378)</f>
        <v/>
      </c>
      <c r="G381" s="32" t="str">
        <f aca="false">IF('Grocery Purchases'!B378="","",'Grocery Purchases'!H378)</f>
        <v/>
      </c>
      <c r="H381" s="14" t="str">
        <f aca="false">IF('Grocery Purchases'!B378="","",'Grocery Purchases'!I378)</f>
        <v/>
      </c>
    </row>
    <row r="382" customFormat="false" ht="15" hidden="false" customHeight="true" outlineLevel="0" collapsed="false">
      <c r="A382" s="12" t="str">
        <f aca="false">IF('Grocery Purchases'!B379="","",'Grocery Purchases'!A379)</f>
        <v/>
      </c>
      <c r="B382" s="17" t="str">
        <f aca="false">IF('Grocery Purchases'!B379="","",'Grocery Purchases'!B379)</f>
        <v/>
      </c>
      <c r="C382" s="17" t="str">
        <f aca="false">IF('Grocery Purchases'!B379="","",'Grocery Purchases'!C379)</f>
        <v/>
      </c>
      <c r="D382" s="14" t="str">
        <f aca="false">IF('Grocery Purchases'!B379="","",'Grocery Purchases'!D379)</f>
        <v/>
      </c>
      <c r="E382" s="11" t="str">
        <f aca="false">IF('Grocery Purchases'!B379="","",'Grocery Purchases'!F379)</f>
        <v/>
      </c>
      <c r="F382" s="11" t="str">
        <f aca="false">IF('Grocery Purchases'!B379="","",'Grocery Purchases'!G379)</f>
        <v/>
      </c>
      <c r="G382" s="32" t="str">
        <f aca="false">IF('Grocery Purchases'!B379="","",'Grocery Purchases'!H379)</f>
        <v/>
      </c>
      <c r="H382" s="14" t="str">
        <f aca="false">IF('Grocery Purchases'!B379="","",'Grocery Purchases'!I379)</f>
        <v/>
      </c>
    </row>
    <row r="383" customFormat="false" ht="15" hidden="false" customHeight="true" outlineLevel="0" collapsed="false">
      <c r="A383" s="12" t="str">
        <f aca="false">IF('Grocery Purchases'!B380="","",'Grocery Purchases'!A380)</f>
        <v/>
      </c>
      <c r="B383" s="17" t="str">
        <f aca="false">IF('Grocery Purchases'!B380="","",'Grocery Purchases'!B380)</f>
        <v/>
      </c>
      <c r="C383" s="17" t="str">
        <f aca="false">IF('Grocery Purchases'!B380="","",'Grocery Purchases'!C380)</f>
        <v/>
      </c>
      <c r="D383" s="14" t="str">
        <f aca="false">IF('Grocery Purchases'!B380="","",'Grocery Purchases'!D380)</f>
        <v/>
      </c>
      <c r="E383" s="11" t="str">
        <f aca="false">IF('Grocery Purchases'!B380="","",'Grocery Purchases'!F380)</f>
        <v/>
      </c>
      <c r="F383" s="11" t="str">
        <f aca="false">IF('Grocery Purchases'!B380="","",'Grocery Purchases'!G380)</f>
        <v/>
      </c>
      <c r="G383" s="32" t="str">
        <f aca="false">IF('Grocery Purchases'!B380="","",'Grocery Purchases'!H380)</f>
        <v/>
      </c>
      <c r="H383" s="14" t="str">
        <f aca="false">IF('Grocery Purchases'!B380="","",'Grocery Purchases'!I380)</f>
        <v/>
      </c>
    </row>
    <row r="384" customFormat="false" ht="15" hidden="false" customHeight="true" outlineLevel="0" collapsed="false">
      <c r="A384" s="12" t="str">
        <f aca="false">IF('Grocery Purchases'!B381="","",'Grocery Purchases'!A381)</f>
        <v/>
      </c>
      <c r="B384" s="17" t="str">
        <f aca="false">IF('Grocery Purchases'!B381="","",'Grocery Purchases'!B381)</f>
        <v/>
      </c>
      <c r="C384" s="17" t="str">
        <f aca="false">IF('Grocery Purchases'!B381="","",'Grocery Purchases'!C381)</f>
        <v/>
      </c>
      <c r="D384" s="14" t="str">
        <f aca="false">IF('Grocery Purchases'!B381="","",'Grocery Purchases'!D381)</f>
        <v/>
      </c>
      <c r="E384" s="11" t="str">
        <f aca="false">IF('Grocery Purchases'!B381="","",'Grocery Purchases'!F381)</f>
        <v/>
      </c>
      <c r="F384" s="11" t="str">
        <f aca="false">IF('Grocery Purchases'!B381="","",'Grocery Purchases'!G381)</f>
        <v/>
      </c>
      <c r="G384" s="32" t="str">
        <f aca="false">IF('Grocery Purchases'!B381="","",'Grocery Purchases'!H381)</f>
        <v/>
      </c>
      <c r="H384" s="14" t="str">
        <f aca="false">IF('Grocery Purchases'!B381="","",'Grocery Purchases'!I381)</f>
        <v/>
      </c>
    </row>
    <row r="385" customFormat="false" ht="15" hidden="false" customHeight="true" outlineLevel="0" collapsed="false">
      <c r="A385" s="12" t="str">
        <f aca="false">IF('Grocery Purchases'!B382="","",'Grocery Purchases'!A382)</f>
        <v/>
      </c>
      <c r="B385" s="17" t="str">
        <f aca="false">IF('Grocery Purchases'!B382="","",'Grocery Purchases'!B382)</f>
        <v/>
      </c>
      <c r="C385" s="17" t="str">
        <f aca="false">IF('Grocery Purchases'!B382="","",'Grocery Purchases'!C382)</f>
        <v/>
      </c>
      <c r="D385" s="14" t="str">
        <f aca="false">IF('Grocery Purchases'!B382="","",'Grocery Purchases'!D382)</f>
        <v/>
      </c>
      <c r="E385" s="11" t="str">
        <f aca="false">IF('Grocery Purchases'!B382="","",'Grocery Purchases'!F382)</f>
        <v/>
      </c>
      <c r="F385" s="11" t="str">
        <f aca="false">IF('Grocery Purchases'!B382="","",'Grocery Purchases'!G382)</f>
        <v/>
      </c>
      <c r="G385" s="32" t="str">
        <f aca="false">IF('Grocery Purchases'!B382="","",'Grocery Purchases'!H382)</f>
        <v/>
      </c>
      <c r="H385" s="14" t="str">
        <f aca="false">IF('Grocery Purchases'!B382="","",'Grocery Purchases'!I382)</f>
        <v/>
      </c>
    </row>
    <row r="386" customFormat="false" ht="15" hidden="false" customHeight="true" outlineLevel="0" collapsed="false">
      <c r="A386" s="12" t="str">
        <f aca="false">IF('Grocery Purchases'!B383="","",'Grocery Purchases'!A383)</f>
        <v/>
      </c>
      <c r="B386" s="17" t="str">
        <f aca="false">IF('Grocery Purchases'!B383="","",'Grocery Purchases'!B383)</f>
        <v/>
      </c>
      <c r="C386" s="17" t="str">
        <f aca="false">IF('Grocery Purchases'!B383="","",'Grocery Purchases'!C383)</f>
        <v/>
      </c>
      <c r="D386" s="14" t="str">
        <f aca="false">IF('Grocery Purchases'!B383="","",'Grocery Purchases'!D383)</f>
        <v/>
      </c>
      <c r="E386" s="11" t="str">
        <f aca="false">IF('Grocery Purchases'!B383="","",'Grocery Purchases'!F383)</f>
        <v/>
      </c>
      <c r="F386" s="11" t="str">
        <f aca="false">IF('Grocery Purchases'!B383="","",'Grocery Purchases'!G383)</f>
        <v/>
      </c>
      <c r="G386" s="32" t="str">
        <f aca="false">IF('Grocery Purchases'!B383="","",'Grocery Purchases'!H383)</f>
        <v/>
      </c>
      <c r="H386" s="14" t="str">
        <f aca="false">IF('Grocery Purchases'!B383="","",'Grocery Purchases'!I383)</f>
        <v/>
      </c>
    </row>
    <row r="387" customFormat="false" ht="15" hidden="false" customHeight="true" outlineLevel="0" collapsed="false">
      <c r="A387" s="12" t="str">
        <f aca="false">IF('Grocery Purchases'!B384="","",'Grocery Purchases'!A384)</f>
        <v/>
      </c>
      <c r="B387" s="17" t="str">
        <f aca="false">IF('Grocery Purchases'!B384="","",'Grocery Purchases'!B384)</f>
        <v/>
      </c>
      <c r="C387" s="17" t="str">
        <f aca="false">IF('Grocery Purchases'!B384="","",'Grocery Purchases'!C384)</f>
        <v/>
      </c>
      <c r="D387" s="14" t="str">
        <f aca="false">IF('Grocery Purchases'!B384="","",'Grocery Purchases'!D384)</f>
        <v/>
      </c>
      <c r="E387" s="11" t="str">
        <f aca="false">IF('Grocery Purchases'!B384="","",'Grocery Purchases'!F384)</f>
        <v/>
      </c>
      <c r="F387" s="11" t="str">
        <f aca="false">IF('Grocery Purchases'!B384="","",'Grocery Purchases'!G384)</f>
        <v/>
      </c>
      <c r="G387" s="32" t="str">
        <f aca="false">IF('Grocery Purchases'!B384="","",'Grocery Purchases'!H384)</f>
        <v/>
      </c>
      <c r="H387" s="14" t="str">
        <f aca="false">IF('Grocery Purchases'!B384="","",'Grocery Purchases'!I384)</f>
        <v/>
      </c>
    </row>
    <row r="388" customFormat="false" ht="15" hidden="false" customHeight="true" outlineLevel="0" collapsed="false">
      <c r="A388" s="12" t="str">
        <f aca="false">IF('Grocery Purchases'!B385="","",'Grocery Purchases'!A385)</f>
        <v/>
      </c>
      <c r="B388" s="17" t="str">
        <f aca="false">IF('Grocery Purchases'!B385="","",'Grocery Purchases'!B385)</f>
        <v/>
      </c>
      <c r="C388" s="17" t="str">
        <f aca="false">IF('Grocery Purchases'!B385="","",'Grocery Purchases'!C385)</f>
        <v/>
      </c>
      <c r="D388" s="14" t="str">
        <f aca="false">IF('Grocery Purchases'!B385="","",'Grocery Purchases'!D385)</f>
        <v/>
      </c>
      <c r="E388" s="11" t="str">
        <f aca="false">IF('Grocery Purchases'!B385="","",'Grocery Purchases'!F385)</f>
        <v/>
      </c>
      <c r="F388" s="11" t="str">
        <f aca="false">IF('Grocery Purchases'!B385="","",'Grocery Purchases'!G385)</f>
        <v/>
      </c>
      <c r="G388" s="32" t="str">
        <f aca="false">IF('Grocery Purchases'!B385="","",'Grocery Purchases'!H385)</f>
        <v/>
      </c>
      <c r="H388" s="14" t="str">
        <f aca="false">IF('Grocery Purchases'!B385="","",'Grocery Purchases'!I385)</f>
        <v/>
      </c>
    </row>
    <row r="389" customFormat="false" ht="15" hidden="false" customHeight="true" outlineLevel="0" collapsed="false">
      <c r="A389" s="12" t="str">
        <f aca="false">IF('Grocery Purchases'!B386="","",'Grocery Purchases'!A386)</f>
        <v/>
      </c>
      <c r="B389" s="17" t="str">
        <f aca="false">IF('Grocery Purchases'!B386="","",'Grocery Purchases'!B386)</f>
        <v/>
      </c>
      <c r="C389" s="17" t="str">
        <f aca="false">IF('Grocery Purchases'!B386="","",'Grocery Purchases'!C386)</f>
        <v/>
      </c>
      <c r="D389" s="14" t="str">
        <f aca="false">IF('Grocery Purchases'!B386="","",'Grocery Purchases'!D386)</f>
        <v/>
      </c>
      <c r="E389" s="11" t="str">
        <f aca="false">IF('Grocery Purchases'!B386="","",'Grocery Purchases'!F386)</f>
        <v/>
      </c>
      <c r="F389" s="11" t="str">
        <f aca="false">IF('Grocery Purchases'!B386="","",'Grocery Purchases'!G386)</f>
        <v/>
      </c>
      <c r="G389" s="32" t="str">
        <f aca="false">IF('Grocery Purchases'!B386="","",'Grocery Purchases'!H386)</f>
        <v/>
      </c>
      <c r="H389" s="14" t="str">
        <f aca="false">IF('Grocery Purchases'!B386="","",'Grocery Purchases'!I386)</f>
        <v/>
      </c>
    </row>
    <row r="390" customFormat="false" ht="15" hidden="false" customHeight="true" outlineLevel="0" collapsed="false">
      <c r="A390" s="12" t="str">
        <f aca="false">IF('Grocery Purchases'!B387="","",'Grocery Purchases'!A387)</f>
        <v/>
      </c>
      <c r="B390" s="17" t="str">
        <f aca="false">IF('Grocery Purchases'!B387="","",'Grocery Purchases'!B387)</f>
        <v/>
      </c>
      <c r="C390" s="17" t="str">
        <f aca="false">IF('Grocery Purchases'!B387="","",'Grocery Purchases'!C387)</f>
        <v/>
      </c>
      <c r="D390" s="14" t="str">
        <f aca="false">IF('Grocery Purchases'!B387="","",'Grocery Purchases'!D387)</f>
        <v/>
      </c>
      <c r="E390" s="11" t="str">
        <f aca="false">IF('Grocery Purchases'!B387="","",'Grocery Purchases'!F387)</f>
        <v/>
      </c>
      <c r="F390" s="11" t="str">
        <f aca="false">IF('Grocery Purchases'!B387="","",'Grocery Purchases'!G387)</f>
        <v/>
      </c>
      <c r="G390" s="32" t="str">
        <f aca="false">IF('Grocery Purchases'!B387="","",'Grocery Purchases'!H387)</f>
        <v/>
      </c>
      <c r="H390" s="14" t="str">
        <f aca="false">IF('Grocery Purchases'!B387="","",'Grocery Purchases'!I387)</f>
        <v/>
      </c>
    </row>
    <row r="391" customFormat="false" ht="15" hidden="false" customHeight="true" outlineLevel="0" collapsed="false">
      <c r="A391" s="12" t="str">
        <f aca="false">IF('Grocery Purchases'!B388="","",'Grocery Purchases'!A388)</f>
        <v/>
      </c>
      <c r="B391" s="17" t="str">
        <f aca="false">IF('Grocery Purchases'!B388="","",'Grocery Purchases'!B388)</f>
        <v/>
      </c>
      <c r="C391" s="17" t="str">
        <f aca="false">IF('Grocery Purchases'!B388="","",'Grocery Purchases'!C388)</f>
        <v/>
      </c>
      <c r="D391" s="14" t="str">
        <f aca="false">IF('Grocery Purchases'!B388="","",'Grocery Purchases'!D388)</f>
        <v/>
      </c>
      <c r="E391" s="11" t="str">
        <f aca="false">IF('Grocery Purchases'!B388="","",'Grocery Purchases'!F388)</f>
        <v/>
      </c>
      <c r="F391" s="11" t="str">
        <f aca="false">IF('Grocery Purchases'!B388="","",'Grocery Purchases'!G388)</f>
        <v/>
      </c>
      <c r="G391" s="32" t="str">
        <f aca="false">IF('Grocery Purchases'!B388="","",'Grocery Purchases'!H388)</f>
        <v/>
      </c>
      <c r="H391" s="14" t="str">
        <f aca="false">IF('Grocery Purchases'!B388="","",'Grocery Purchases'!I388)</f>
        <v/>
      </c>
    </row>
    <row r="392" customFormat="false" ht="15" hidden="false" customHeight="true" outlineLevel="0" collapsed="false">
      <c r="A392" s="12" t="str">
        <f aca="false">IF('Grocery Purchases'!B389="","",'Grocery Purchases'!A389)</f>
        <v/>
      </c>
      <c r="B392" s="17" t="str">
        <f aca="false">IF('Grocery Purchases'!B389="","",'Grocery Purchases'!B389)</f>
        <v/>
      </c>
      <c r="C392" s="17" t="str">
        <f aca="false">IF('Grocery Purchases'!B389="","",'Grocery Purchases'!C389)</f>
        <v/>
      </c>
      <c r="D392" s="14" t="str">
        <f aca="false">IF('Grocery Purchases'!B389="","",'Grocery Purchases'!D389)</f>
        <v/>
      </c>
      <c r="E392" s="11" t="str">
        <f aca="false">IF('Grocery Purchases'!B389="","",'Grocery Purchases'!F389)</f>
        <v/>
      </c>
      <c r="F392" s="11" t="str">
        <f aca="false">IF('Grocery Purchases'!B389="","",'Grocery Purchases'!G389)</f>
        <v/>
      </c>
      <c r="G392" s="32" t="str">
        <f aca="false">IF('Grocery Purchases'!B389="","",'Grocery Purchases'!H389)</f>
        <v/>
      </c>
      <c r="H392" s="14" t="str">
        <f aca="false">IF('Grocery Purchases'!B389="","",'Grocery Purchases'!I389)</f>
        <v/>
      </c>
    </row>
    <row r="393" customFormat="false" ht="15" hidden="false" customHeight="true" outlineLevel="0" collapsed="false">
      <c r="A393" s="12" t="str">
        <f aca="false">IF('Grocery Purchases'!B390="","",'Grocery Purchases'!A390)</f>
        <v/>
      </c>
      <c r="B393" s="17" t="str">
        <f aca="false">IF('Grocery Purchases'!B390="","",'Grocery Purchases'!B390)</f>
        <v/>
      </c>
      <c r="C393" s="17" t="str">
        <f aca="false">IF('Grocery Purchases'!B390="","",'Grocery Purchases'!C390)</f>
        <v/>
      </c>
      <c r="D393" s="14" t="str">
        <f aca="false">IF('Grocery Purchases'!B390="","",'Grocery Purchases'!D390)</f>
        <v/>
      </c>
      <c r="E393" s="11" t="str">
        <f aca="false">IF('Grocery Purchases'!B390="","",'Grocery Purchases'!F390)</f>
        <v/>
      </c>
      <c r="F393" s="11" t="str">
        <f aca="false">IF('Grocery Purchases'!B390="","",'Grocery Purchases'!G390)</f>
        <v/>
      </c>
      <c r="G393" s="32" t="str">
        <f aca="false">IF('Grocery Purchases'!B390="","",'Grocery Purchases'!H390)</f>
        <v/>
      </c>
      <c r="H393" s="14" t="str">
        <f aca="false">IF('Grocery Purchases'!B390="","",'Grocery Purchases'!I390)</f>
        <v/>
      </c>
    </row>
    <row r="394" customFormat="false" ht="15" hidden="false" customHeight="true" outlineLevel="0" collapsed="false">
      <c r="A394" s="12" t="str">
        <f aca="false">IF('Grocery Purchases'!B391="","",'Grocery Purchases'!A391)</f>
        <v/>
      </c>
      <c r="B394" s="17" t="str">
        <f aca="false">IF('Grocery Purchases'!B391="","",'Grocery Purchases'!B391)</f>
        <v/>
      </c>
      <c r="C394" s="17" t="str">
        <f aca="false">IF('Grocery Purchases'!B391="","",'Grocery Purchases'!C391)</f>
        <v/>
      </c>
      <c r="D394" s="14" t="str">
        <f aca="false">IF('Grocery Purchases'!B391="","",'Grocery Purchases'!D391)</f>
        <v/>
      </c>
      <c r="E394" s="11" t="str">
        <f aca="false">IF('Grocery Purchases'!B391="","",'Grocery Purchases'!F391)</f>
        <v/>
      </c>
      <c r="F394" s="11" t="str">
        <f aca="false">IF('Grocery Purchases'!B391="","",'Grocery Purchases'!G391)</f>
        <v/>
      </c>
      <c r="G394" s="32" t="str">
        <f aca="false">IF('Grocery Purchases'!B391="","",'Grocery Purchases'!H391)</f>
        <v/>
      </c>
      <c r="H394" s="14" t="str">
        <f aca="false">IF('Grocery Purchases'!B391="","",'Grocery Purchases'!I391)</f>
        <v/>
      </c>
    </row>
    <row r="395" customFormat="false" ht="15" hidden="false" customHeight="true" outlineLevel="0" collapsed="false">
      <c r="A395" s="12" t="str">
        <f aca="false">IF('Grocery Purchases'!B392="","",'Grocery Purchases'!A392)</f>
        <v/>
      </c>
      <c r="B395" s="17" t="str">
        <f aca="false">IF('Grocery Purchases'!B392="","",'Grocery Purchases'!B392)</f>
        <v/>
      </c>
      <c r="C395" s="17" t="str">
        <f aca="false">IF('Grocery Purchases'!B392="","",'Grocery Purchases'!C392)</f>
        <v/>
      </c>
      <c r="D395" s="14" t="str">
        <f aca="false">IF('Grocery Purchases'!B392="","",'Grocery Purchases'!D392)</f>
        <v/>
      </c>
      <c r="E395" s="11" t="str">
        <f aca="false">IF('Grocery Purchases'!B392="","",'Grocery Purchases'!F392)</f>
        <v/>
      </c>
      <c r="F395" s="11" t="str">
        <f aca="false">IF('Grocery Purchases'!B392="","",'Grocery Purchases'!G392)</f>
        <v/>
      </c>
      <c r="G395" s="32" t="str">
        <f aca="false">IF('Grocery Purchases'!B392="","",'Grocery Purchases'!H392)</f>
        <v/>
      </c>
      <c r="H395" s="14" t="str">
        <f aca="false">IF('Grocery Purchases'!B392="","",'Grocery Purchases'!I392)</f>
        <v/>
      </c>
    </row>
    <row r="396" customFormat="false" ht="15" hidden="false" customHeight="true" outlineLevel="0" collapsed="false">
      <c r="A396" s="12" t="str">
        <f aca="false">IF('Grocery Purchases'!B393="","",'Grocery Purchases'!A393)</f>
        <v/>
      </c>
      <c r="B396" s="17" t="str">
        <f aca="false">IF('Grocery Purchases'!B393="","",'Grocery Purchases'!B393)</f>
        <v/>
      </c>
      <c r="C396" s="17" t="str">
        <f aca="false">IF('Grocery Purchases'!B393="","",'Grocery Purchases'!C393)</f>
        <v/>
      </c>
      <c r="D396" s="14" t="str">
        <f aca="false">IF('Grocery Purchases'!B393="","",'Grocery Purchases'!D393)</f>
        <v/>
      </c>
      <c r="E396" s="11" t="str">
        <f aca="false">IF('Grocery Purchases'!B393="","",'Grocery Purchases'!F393)</f>
        <v/>
      </c>
      <c r="F396" s="11" t="str">
        <f aca="false">IF('Grocery Purchases'!B393="","",'Grocery Purchases'!G393)</f>
        <v/>
      </c>
      <c r="G396" s="32" t="str">
        <f aca="false">IF('Grocery Purchases'!B393="","",'Grocery Purchases'!H393)</f>
        <v/>
      </c>
      <c r="H396" s="14" t="str">
        <f aca="false">IF('Grocery Purchases'!B393="","",'Grocery Purchases'!I393)</f>
        <v/>
      </c>
    </row>
    <row r="397" customFormat="false" ht="15" hidden="false" customHeight="true" outlineLevel="0" collapsed="false">
      <c r="A397" s="12" t="str">
        <f aca="false">IF('Grocery Purchases'!B394="","",'Grocery Purchases'!A394)</f>
        <v/>
      </c>
      <c r="B397" s="17" t="str">
        <f aca="false">IF('Grocery Purchases'!B394="","",'Grocery Purchases'!B394)</f>
        <v/>
      </c>
      <c r="C397" s="17" t="str">
        <f aca="false">IF('Grocery Purchases'!B394="","",'Grocery Purchases'!C394)</f>
        <v/>
      </c>
      <c r="D397" s="14" t="str">
        <f aca="false">IF('Grocery Purchases'!B394="","",'Grocery Purchases'!D394)</f>
        <v/>
      </c>
      <c r="E397" s="11" t="str">
        <f aca="false">IF('Grocery Purchases'!B394="","",'Grocery Purchases'!F394)</f>
        <v/>
      </c>
      <c r="F397" s="11" t="str">
        <f aca="false">IF('Grocery Purchases'!B394="","",'Grocery Purchases'!G394)</f>
        <v/>
      </c>
      <c r="G397" s="32" t="str">
        <f aca="false">IF('Grocery Purchases'!B394="","",'Grocery Purchases'!H394)</f>
        <v/>
      </c>
      <c r="H397" s="14" t="str">
        <f aca="false">IF('Grocery Purchases'!B394="","",'Grocery Purchases'!I394)</f>
        <v/>
      </c>
    </row>
    <row r="398" customFormat="false" ht="15" hidden="false" customHeight="true" outlineLevel="0" collapsed="false">
      <c r="A398" s="12" t="str">
        <f aca="false">IF('Grocery Purchases'!B395="","",'Grocery Purchases'!A395)</f>
        <v/>
      </c>
      <c r="B398" s="17" t="str">
        <f aca="false">IF('Grocery Purchases'!B395="","",'Grocery Purchases'!B395)</f>
        <v/>
      </c>
      <c r="C398" s="17" t="str">
        <f aca="false">IF('Grocery Purchases'!B395="","",'Grocery Purchases'!C395)</f>
        <v/>
      </c>
      <c r="D398" s="14" t="str">
        <f aca="false">IF('Grocery Purchases'!B395="","",'Grocery Purchases'!D395)</f>
        <v/>
      </c>
      <c r="E398" s="11" t="str">
        <f aca="false">IF('Grocery Purchases'!B395="","",'Grocery Purchases'!F395)</f>
        <v/>
      </c>
      <c r="F398" s="11" t="str">
        <f aca="false">IF('Grocery Purchases'!B395="","",'Grocery Purchases'!G395)</f>
        <v/>
      </c>
      <c r="G398" s="32" t="str">
        <f aca="false">IF('Grocery Purchases'!B395="","",'Grocery Purchases'!H395)</f>
        <v/>
      </c>
      <c r="H398" s="14" t="str">
        <f aca="false">IF('Grocery Purchases'!B395="","",'Grocery Purchases'!I395)</f>
        <v/>
      </c>
    </row>
    <row r="399" customFormat="false" ht="15" hidden="false" customHeight="true" outlineLevel="0" collapsed="false">
      <c r="A399" s="12" t="str">
        <f aca="false">IF('Grocery Purchases'!B396="","",'Grocery Purchases'!A396)</f>
        <v/>
      </c>
      <c r="B399" s="17" t="str">
        <f aca="false">IF('Grocery Purchases'!B396="","",'Grocery Purchases'!B396)</f>
        <v/>
      </c>
      <c r="C399" s="17" t="str">
        <f aca="false">IF('Grocery Purchases'!B396="","",'Grocery Purchases'!C396)</f>
        <v/>
      </c>
      <c r="D399" s="14" t="str">
        <f aca="false">IF('Grocery Purchases'!B396="","",'Grocery Purchases'!D396)</f>
        <v/>
      </c>
      <c r="E399" s="11" t="str">
        <f aca="false">IF('Grocery Purchases'!B396="","",'Grocery Purchases'!F396)</f>
        <v/>
      </c>
      <c r="F399" s="11" t="str">
        <f aca="false">IF('Grocery Purchases'!B396="","",'Grocery Purchases'!G396)</f>
        <v/>
      </c>
      <c r="G399" s="32" t="str">
        <f aca="false">IF('Grocery Purchases'!B396="","",'Grocery Purchases'!H396)</f>
        <v/>
      </c>
      <c r="H399" s="14" t="str">
        <f aca="false">IF('Grocery Purchases'!B396="","",'Grocery Purchases'!I396)</f>
        <v/>
      </c>
    </row>
    <row r="400" customFormat="false" ht="15" hidden="false" customHeight="true" outlineLevel="0" collapsed="false">
      <c r="A400" s="12" t="str">
        <f aca="false">IF('Grocery Purchases'!B397="","",'Grocery Purchases'!A397)</f>
        <v/>
      </c>
      <c r="B400" s="17" t="str">
        <f aca="false">IF('Grocery Purchases'!B397="","",'Grocery Purchases'!B397)</f>
        <v/>
      </c>
      <c r="C400" s="17" t="str">
        <f aca="false">IF('Grocery Purchases'!B397="","",'Grocery Purchases'!C397)</f>
        <v/>
      </c>
      <c r="D400" s="14" t="str">
        <f aca="false">IF('Grocery Purchases'!B397="","",'Grocery Purchases'!D397)</f>
        <v/>
      </c>
      <c r="E400" s="11" t="str">
        <f aca="false">IF('Grocery Purchases'!B397="","",'Grocery Purchases'!F397)</f>
        <v/>
      </c>
      <c r="F400" s="11" t="str">
        <f aca="false">IF('Grocery Purchases'!B397="","",'Grocery Purchases'!G397)</f>
        <v/>
      </c>
      <c r="G400" s="32" t="str">
        <f aca="false">IF('Grocery Purchases'!B397="","",'Grocery Purchases'!H397)</f>
        <v/>
      </c>
      <c r="H400" s="14" t="str">
        <f aca="false">IF('Grocery Purchases'!B397="","",'Grocery Purchases'!I397)</f>
        <v/>
      </c>
    </row>
    <row r="401" customFormat="false" ht="15" hidden="false" customHeight="true" outlineLevel="0" collapsed="false">
      <c r="A401" s="12" t="str">
        <f aca="false">IF('Grocery Purchases'!B398="","",'Grocery Purchases'!A398)</f>
        <v/>
      </c>
      <c r="B401" s="17" t="str">
        <f aca="false">IF('Grocery Purchases'!B398="","",'Grocery Purchases'!B398)</f>
        <v/>
      </c>
      <c r="C401" s="17" t="str">
        <f aca="false">IF('Grocery Purchases'!B398="","",'Grocery Purchases'!C398)</f>
        <v/>
      </c>
      <c r="D401" s="14" t="str">
        <f aca="false">IF('Grocery Purchases'!B398="","",'Grocery Purchases'!D398)</f>
        <v/>
      </c>
      <c r="E401" s="11" t="str">
        <f aca="false">IF('Grocery Purchases'!B398="","",'Grocery Purchases'!F398)</f>
        <v/>
      </c>
      <c r="F401" s="11" t="str">
        <f aca="false">IF('Grocery Purchases'!B398="","",'Grocery Purchases'!G398)</f>
        <v/>
      </c>
      <c r="G401" s="32" t="str">
        <f aca="false">IF('Grocery Purchases'!B398="","",'Grocery Purchases'!H398)</f>
        <v/>
      </c>
      <c r="H401" s="14" t="str">
        <f aca="false">IF('Grocery Purchases'!B398="","",'Grocery Purchases'!I398)</f>
        <v/>
      </c>
    </row>
    <row r="402" customFormat="false" ht="15" hidden="false" customHeight="true" outlineLevel="0" collapsed="false">
      <c r="A402" s="12" t="str">
        <f aca="false">IF('Grocery Purchases'!B399="","",'Grocery Purchases'!A399)</f>
        <v/>
      </c>
      <c r="B402" s="17" t="str">
        <f aca="false">IF('Grocery Purchases'!B399="","",'Grocery Purchases'!B399)</f>
        <v/>
      </c>
      <c r="C402" s="17" t="str">
        <f aca="false">IF('Grocery Purchases'!B399="","",'Grocery Purchases'!C399)</f>
        <v/>
      </c>
      <c r="D402" s="14" t="str">
        <f aca="false">IF('Grocery Purchases'!B399="","",'Grocery Purchases'!D399)</f>
        <v/>
      </c>
      <c r="E402" s="11" t="str">
        <f aca="false">IF('Grocery Purchases'!B399="","",'Grocery Purchases'!F399)</f>
        <v/>
      </c>
      <c r="F402" s="11" t="str">
        <f aca="false">IF('Grocery Purchases'!B399="","",'Grocery Purchases'!G399)</f>
        <v/>
      </c>
      <c r="G402" s="32" t="str">
        <f aca="false">IF('Grocery Purchases'!B399="","",'Grocery Purchases'!H399)</f>
        <v/>
      </c>
      <c r="H402" s="14" t="str">
        <f aca="false">IF('Grocery Purchases'!B399="","",'Grocery Purchases'!I399)</f>
        <v/>
      </c>
    </row>
    <row r="403" customFormat="false" ht="15" hidden="false" customHeight="true" outlineLevel="0" collapsed="false">
      <c r="A403" s="12" t="str">
        <f aca="false">IF('Grocery Purchases'!B400="","",'Grocery Purchases'!A400)</f>
        <v/>
      </c>
      <c r="B403" s="17" t="str">
        <f aca="false">IF('Grocery Purchases'!B400="","",'Grocery Purchases'!B400)</f>
        <v/>
      </c>
      <c r="C403" s="17" t="str">
        <f aca="false">IF('Grocery Purchases'!B400="","",'Grocery Purchases'!C400)</f>
        <v/>
      </c>
      <c r="D403" s="14" t="str">
        <f aca="false">IF('Grocery Purchases'!B400="","",'Grocery Purchases'!D400)</f>
        <v/>
      </c>
      <c r="E403" s="11" t="str">
        <f aca="false">IF('Grocery Purchases'!B400="","",'Grocery Purchases'!F400)</f>
        <v/>
      </c>
      <c r="F403" s="11" t="str">
        <f aca="false">IF('Grocery Purchases'!B400="","",'Grocery Purchases'!G400)</f>
        <v/>
      </c>
      <c r="G403" s="32" t="str">
        <f aca="false">IF('Grocery Purchases'!B400="","",'Grocery Purchases'!H400)</f>
        <v/>
      </c>
      <c r="H403" s="14" t="str">
        <f aca="false">IF('Grocery Purchases'!B400="","",'Grocery Purchases'!I400)</f>
        <v/>
      </c>
    </row>
    <row r="404" customFormat="false" ht="15" hidden="false" customHeight="true" outlineLevel="0" collapsed="false">
      <c r="A404" s="12" t="str">
        <f aca="false">IF('Grocery Purchases'!B401="","",'Grocery Purchases'!A401)</f>
        <v/>
      </c>
      <c r="B404" s="17" t="str">
        <f aca="false">IF('Grocery Purchases'!B401="","",'Grocery Purchases'!B401)</f>
        <v/>
      </c>
      <c r="C404" s="17" t="str">
        <f aca="false">IF('Grocery Purchases'!B401="","",'Grocery Purchases'!C401)</f>
        <v/>
      </c>
      <c r="D404" s="14" t="str">
        <f aca="false">IF('Grocery Purchases'!B401="","",'Grocery Purchases'!D401)</f>
        <v/>
      </c>
      <c r="E404" s="11" t="str">
        <f aca="false">IF('Grocery Purchases'!B401="","",'Grocery Purchases'!F401)</f>
        <v/>
      </c>
      <c r="F404" s="11" t="str">
        <f aca="false">IF('Grocery Purchases'!B401="","",'Grocery Purchases'!G401)</f>
        <v/>
      </c>
      <c r="G404" s="32" t="str">
        <f aca="false">IF('Grocery Purchases'!B401="","",'Grocery Purchases'!H401)</f>
        <v/>
      </c>
      <c r="H404" s="14" t="str">
        <f aca="false">IF('Grocery Purchases'!B401="","",'Grocery Purchases'!I401)</f>
        <v/>
      </c>
    </row>
    <row r="405" customFormat="false" ht="15" hidden="false" customHeight="true" outlineLevel="0" collapsed="false">
      <c r="A405" s="12" t="str">
        <f aca="false">IF('Grocery Purchases'!B402="","",'Grocery Purchases'!A402)</f>
        <v/>
      </c>
      <c r="B405" s="17" t="str">
        <f aca="false">IF('Grocery Purchases'!B402="","",'Grocery Purchases'!B402)</f>
        <v/>
      </c>
      <c r="C405" s="17" t="str">
        <f aca="false">IF('Grocery Purchases'!B402="","",'Grocery Purchases'!C402)</f>
        <v/>
      </c>
      <c r="D405" s="14" t="str">
        <f aca="false">IF('Grocery Purchases'!B402="","",'Grocery Purchases'!D402)</f>
        <v/>
      </c>
      <c r="E405" s="11" t="str">
        <f aca="false">IF('Grocery Purchases'!B402="","",'Grocery Purchases'!F402)</f>
        <v/>
      </c>
      <c r="F405" s="11" t="str">
        <f aca="false">IF('Grocery Purchases'!B402="","",'Grocery Purchases'!G402)</f>
        <v/>
      </c>
      <c r="G405" s="32" t="str">
        <f aca="false">IF('Grocery Purchases'!B402="","",'Grocery Purchases'!H402)</f>
        <v/>
      </c>
      <c r="H405" s="14" t="str">
        <f aca="false">IF('Grocery Purchases'!B402="","",'Grocery Purchases'!I402)</f>
        <v/>
      </c>
    </row>
    <row r="406" customFormat="false" ht="15" hidden="false" customHeight="true" outlineLevel="0" collapsed="false">
      <c r="A406" s="12" t="str">
        <f aca="false">IF('Grocery Purchases'!B403="","",'Grocery Purchases'!A403)</f>
        <v/>
      </c>
      <c r="B406" s="17" t="str">
        <f aca="false">IF('Grocery Purchases'!B403="","",'Grocery Purchases'!B403)</f>
        <v/>
      </c>
      <c r="C406" s="17" t="str">
        <f aca="false">IF('Grocery Purchases'!B403="","",'Grocery Purchases'!C403)</f>
        <v/>
      </c>
      <c r="D406" s="14" t="str">
        <f aca="false">IF('Grocery Purchases'!B403="","",'Grocery Purchases'!D403)</f>
        <v/>
      </c>
      <c r="E406" s="11" t="str">
        <f aca="false">IF('Grocery Purchases'!B403="","",'Grocery Purchases'!F403)</f>
        <v/>
      </c>
      <c r="F406" s="11" t="str">
        <f aca="false">IF('Grocery Purchases'!B403="","",'Grocery Purchases'!G403)</f>
        <v/>
      </c>
      <c r="G406" s="32" t="str">
        <f aca="false">IF('Grocery Purchases'!B403="","",'Grocery Purchases'!H403)</f>
        <v/>
      </c>
      <c r="H406" s="14" t="str">
        <f aca="false">IF('Grocery Purchases'!B403="","",'Grocery Purchases'!I403)</f>
        <v/>
      </c>
    </row>
    <row r="407" customFormat="false" ht="15" hidden="false" customHeight="true" outlineLevel="0" collapsed="false">
      <c r="A407" s="12" t="str">
        <f aca="false">IF('Grocery Purchases'!B404="","",'Grocery Purchases'!A404)</f>
        <v/>
      </c>
      <c r="B407" s="17" t="str">
        <f aca="false">IF('Grocery Purchases'!B404="","",'Grocery Purchases'!B404)</f>
        <v/>
      </c>
      <c r="C407" s="17" t="str">
        <f aca="false">IF('Grocery Purchases'!B404="","",'Grocery Purchases'!C404)</f>
        <v/>
      </c>
      <c r="D407" s="14" t="str">
        <f aca="false">IF('Grocery Purchases'!B404="","",'Grocery Purchases'!D404)</f>
        <v/>
      </c>
      <c r="E407" s="11" t="str">
        <f aca="false">IF('Grocery Purchases'!B404="","",'Grocery Purchases'!F404)</f>
        <v/>
      </c>
      <c r="F407" s="11" t="str">
        <f aca="false">IF('Grocery Purchases'!B404="","",'Grocery Purchases'!G404)</f>
        <v/>
      </c>
      <c r="G407" s="32" t="str">
        <f aca="false">IF('Grocery Purchases'!B404="","",'Grocery Purchases'!H404)</f>
        <v/>
      </c>
      <c r="H407" s="14" t="str">
        <f aca="false">IF('Grocery Purchases'!B404="","",'Grocery Purchases'!I404)</f>
        <v/>
      </c>
    </row>
    <row r="408" customFormat="false" ht="15" hidden="false" customHeight="true" outlineLevel="0" collapsed="false">
      <c r="A408" s="12" t="str">
        <f aca="false">IF('Grocery Purchases'!B405="","",'Grocery Purchases'!A405)</f>
        <v/>
      </c>
      <c r="B408" s="17" t="str">
        <f aca="false">IF('Grocery Purchases'!B405="","",'Grocery Purchases'!B405)</f>
        <v/>
      </c>
      <c r="C408" s="17" t="str">
        <f aca="false">IF('Grocery Purchases'!B405="","",'Grocery Purchases'!C405)</f>
        <v/>
      </c>
      <c r="D408" s="14" t="str">
        <f aca="false">IF('Grocery Purchases'!B405="","",'Grocery Purchases'!D405)</f>
        <v/>
      </c>
      <c r="E408" s="11" t="str">
        <f aca="false">IF('Grocery Purchases'!B405="","",'Grocery Purchases'!F405)</f>
        <v/>
      </c>
      <c r="F408" s="11" t="str">
        <f aca="false">IF('Grocery Purchases'!B405="","",'Grocery Purchases'!G405)</f>
        <v/>
      </c>
      <c r="G408" s="32" t="str">
        <f aca="false">IF('Grocery Purchases'!B405="","",'Grocery Purchases'!H405)</f>
        <v/>
      </c>
      <c r="H408" s="14" t="str">
        <f aca="false">IF('Grocery Purchases'!B405="","",'Grocery Purchases'!I405)</f>
        <v/>
      </c>
    </row>
    <row r="409" customFormat="false" ht="15" hidden="false" customHeight="true" outlineLevel="0" collapsed="false">
      <c r="A409" s="12" t="str">
        <f aca="false">IF('Grocery Purchases'!B406="","",'Grocery Purchases'!A406)</f>
        <v/>
      </c>
      <c r="B409" s="17" t="str">
        <f aca="false">IF('Grocery Purchases'!B406="","",'Grocery Purchases'!B406)</f>
        <v/>
      </c>
      <c r="C409" s="17" t="str">
        <f aca="false">IF('Grocery Purchases'!B406="","",'Grocery Purchases'!C406)</f>
        <v/>
      </c>
      <c r="D409" s="14" t="str">
        <f aca="false">IF('Grocery Purchases'!B406="","",'Grocery Purchases'!D406)</f>
        <v/>
      </c>
      <c r="E409" s="11" t="str">
        <f aca="false">IF('Grocery Purchases'!B406="","",'Grocery Purchases'!F406)</f>
        <v/>
      </c>
      <c r="F409" s="11" t="str">
        <f aca="false">IF('Grocery Purchases'!B406="","",'Grocery Purchases'!G406)</f>
        <v/>
      </c>
      <c r="G409" s="32" t="str">
        <f aca="false">IF('Grocery Purchases'!B406="","",'Grocery Purchases'!H406)</f>
        <v/>
      </c>
      <c r="H409" s="14" t="str">
        <f aca="false">IF('Grocery Purchases'!B406="","",'Grocery Purchases'!I406)</f>
        <v/>
      </c>
    </row>
    <row r="410" customFormat="false" ht="15" hidden="false" customHeight="true" outlineLevel="0" collapsed="false">
      <c r="A410" s="12" t="str">
        <f aca="false">IF('Grocery Purchases'!B407="","",'Grocery Purchases'!A407)</f>
        <v/>
      </c>
      <c r="B410" s="17" t="str">
        <f aca="false">IF('Grocery Purchases'!B407="","",'Grocery Purchases'!B407)</f>
        <v/>
      </c>
      <c r="C410" s="17" t="str">
        <f aca="false">IF('Grocery Purchases'!B407="","",'Grocery Purchases'!C407)</f>
        <v/>
      </c>
      <c r="D410" s="14" t="str">
        <f aca="false">IF('Grocery Purchases'!B407="","",'Grocery Purchases'!D407)</f>
        <v/>
      </c>
      <c r="E410" s="11" t="str">
        <f aca="false">IF('Grocery Purchases'!B407="","",'Grocery Purchases'!F407)</f>
        <v/>
      </c>
      <c r="F410" s="11" t="str">
        <f aca="false">IF('Grocery Purchases'!B407="","",'Grocery Purchases'!G407)</f>
        <v/>
      </c>
      <c r="G410" s="32" t="str">
        <f aca="false">IF('Grocery Purchases'!B407="","",'Grocery Purchases'!H407)</f>
        <v/>
      </c>
      <c r="H410" s="14" t="str">
        <f aca="false">IF('Grocery Purchases'!B407="","",'Grocery Purchases'!I407)</f>
        <v/>
      </c>
    </row>
    <row r="411" customFormat="false" ht="15" hidden="false" customHeight="true" outlineLevel="0" collapsed="false">
      <c r="A411" s="12" t="str">
        <f aca="false">IF('Grocery Purchases'!B408="","",'Grocery Purchases'!A408)</f>
        <v/>
      </c>
      <c r="B411" s="17" t="str">
        <f aca="false">IF('Grocery Purchases'!B408="","",'Grocery Purchases'!B408)</f>
        <v/>
      </c>
      <c r="C411" s="17" t="str">
        <f aca="false">IF('Grocery Purchases'!B408="","",'Grocery Purchases'!C408)</f>
        <v/>
      </c>
      <c r="D411" s="14" t="str">
        <f aca="false">IF('Grocery Purchases'!B408="","",'Grocery Purchases'!D408)</f>
        <v/>
      </c>
      <c r="E411" s="11" t="str">
        <f aca="false">IF('Grocery Purchases'!B408="","",'Grocery Purchases'!F408)</f>
        <v/>
      </c>
      <c r="F411" s="11" t="str">
        <f aca="false">IF('Grocery Purchases'!B408="","",'Grocery Purchases'!G408)</f>
        <v/>
      </c>
      <c r="G411" s="32" t="str">
        <f aca="false">IF('Grocery Purchases'!B408="","",'Grocery Purchases'!H408)</f>
        <v/>
      </c>
      <c r="H411" s="14" t="str">
        <f aca="false">IF('Grocery Purchases'!B408="","",'Grocery Purchases'!I408)</f>
        <v/>
      </c>
    </row>
    <row r="412" customFormat="false" ht="15" hidden="false" customHeight="true" outlineLevel="0" collapsed="false">
      <c r="A412" s="12" t="str">
        <f aca="false">IF('Grocery Purchases'!B409="","",'Grocery Purchases'!A409)</f>
        <v/>
      </c>
      <c r="B412" s="17" t="str">
        <f aca="false">IF('Grocery Purchases'!B409="","",'Grocery Purchases'!B409)</f>
        <v/>
      </c>
      <c r="C412" s="17" t="str">
        <f aca="false">IF('Grocery Purchases'!B409="","",'Grocery Purchases'!C409)</f>
        <v/>
      </c>
      <c r="D412" s="14" t="str">
        <f aca="false">IF('Grocery Purchases'!B409="","",'Grocery Purchases'!D409)</f>
        <v/>
      </c>
      <c r="E412" s="11" t="str">
        <f aca="false">IF('Grocery Purchases'!B409="","",'Grocery Purchases'!F409)</f>
        <v/>
      </c>
      <c r="F412" s="11" t="str">
        <f aca="false">IF('Grocery Purchases'!B409="","",'Grocery Purchases'!G409)</f>
        <v/>
      </c>
      <c r="G412" s="32" t="str">
        <f aca="false">IF('Grocery Purchases'!B409="","",'Grocery Purchases'!H409)</f>
        <v/>
      </c>
      <c r="H412" s="14" t="str">
        <f aca="false">IF('Grocery Purchases'!B409="","",'Grocery Purchases'!I409)</f>
        <v/>
      </c>
    </row>
    <row r="413" customFormat="false" ht="15" hidden="false" customHeight="true" outlineLevel="0" collapsed="false">
      <c r="A413" s="12" t="str">
        <f aca="false">IF('Grocery Purchases'!B410="","",'Grocery Purchases'!A410)</f>
        <v/>
      </c>
      <c r="B413" s="17" t="str">
        <f aca="false">IF('Grocery Purchases'!B410="","",'Grocery Purchases'!B410)</f>
        <v/>
      </c>
      <c r="C413" s="17" t="str">
        <f aca="false">IF('Grocery Purchases'!B410="","",'Grocery Purchases'!C410)</f>
        <v/>
      </c>
      <c r="D413" s="14" t="str">
        <f aca="false">IF('Grocery Purchases'!B410="","",'Grocery Purchases'!D410)</f>
        <v/>
      </c>
      <c r="E413" s="11" t="str">
        <f aca="false">IF('Grocery Purchases'!B410="","",'Grocery Purchases'!F410)</f>
        <v/>
      </c>
      <c r="F413" s="11" t="str">
        <f aca="false">IF('Grocery Purchases'!B410="","",'Grocery Purchases'!G410)</f>
        <v/>
      </c>
      <c r="G413" s="32" t="str">
        <f aca="false">IF('Grocery Purchases'!B410="","",'Grocery Purchases'!H410)</f>
        <v/>
      </c>
      <c r="H413" s="14" t="str">
        <f aca="false">IF('Grocery Purchases'!B410="","",'Grocery Purchases'!I410)</f>
        <v/>
      </c>
    </row>
    <row r="414" customFormat="false" ht="15" hidden="false" customHeight="true" outlineLevel="0" collapsed="false">
      <c r="A414" s="12" t="str">
        <f aca="false">IF('Grocery Purchases'!B411="","",'Grocery Purchases'!A411)</f>
        <v/>
      </c>
      <c r="B414" s="17" t="str">
        <f aca="false">IF('Grocery Purchases'!B411="","",'Grocery Purchases'!B411)</f>
        <v/>
      </c>
      <c r="C414" s="17" t="str">
        <f aca="false">IF('Grocery Purchases'!B411="","",'Grocery Purchases'!C411)</f>
        <v/>
      </c>
      <c r="D414" s="14" t="str">
        <f aca="false">IF('Grocery Purchases'!B411="","",'Grocery Purchases'!D411)</f>
        <v/>
      </c>
      <c r="E414" s="11" t="str">
        <f aca="false">IF('Grocery Purchases'!B411="","",'Grocery Purchases'!F411)</f>
        <v/>
      </c>
      <c r="F414" s="11" t="str">
        <f aca="false">IF('Grocery Purchases'!B411="","",'Grocery Purchases'!G411)</f>
        <v/>
      </c>
      <c r="G414" s="32" t="str">
        <f aca="false">IF('Grocery Purchases'!B411="","",'Grocery Purchases'!H411)</f>
        <v/>
      </c>
      <c r="H414" s="14" t="str">
        <f aca="false">IF('Grocery Purchases'!B411="","",'Grocery Purchases'!I411)</f>
        <v/>
      </c>
    </row>
    <row r="415" customFormat="false" ht="15" hidden="false" customHeight="true" outlineLevel="0" collapsed="false">
      <c r="A415" s="12" t="str">
        <f aca="false">IF('Grocery Purchases'!B412="","",'Grocery Purchases'!A412)</f>
        <v/>
      </c>
      <c r="B415" s="17" t="str">
        <f aca="false">IF('Grocery Purchases'!B412="","",'Grocery Purchases'!B412)</f>
        <v/>
      </c>
      <c r="C415" s="17" t="str">
        <f aca="false">IF('Grocery Purchases'!B412="","",'Grocery Purchases'!C412)</f>
        <v/>
      </c>
      <c r="D415" s="14" t="str">
        <f aca="false">IF('Grocery Purchases'!B412="","",'Grocery Purchases'!D412)</f>
        <v/>
      </c>
      <c r="E415" s="11" t="str">
        <f aca="false">IF('Grocery Purchases'!B412="","",'Grocery Purchases'!F412)</f>
        <v/>
      </c>
      <c r="F415" s="11" t="str">
        <f aca="false">IF('Grocery Purchases'!B412="","",'Grocery Purchases'!G412)</f>
        <v/>
      </c>
      <c r="G415" s="32" t="str">
        <f aca="false">IF('Grocery Purchases'!B412="","",'Grocery Purchases'!H412)</f>
        <v/>
      </c>
      <c r="H415" s="14" t="str">
        <f aca="false">IF('Grocery Purchases'!B412="","",'Grocery Purchases'!I412)</f>
        <v/>
      </c>
    </row>
    <row r="416" customFormat="false" ht="15" hidden="false" customHeight="true" outlineLevel="0" collapsed="false">
      <c r="A416" s="12" t="str">
        <f aca="false">IF('Grocery Purchases'!B413="","",'Grocery Purchases'!A413)</f>
        <v/>
      </c>
      <c r="B416" s="17" t="str">
        <f aca="false">IF('Grocery Purchases'!B413="","",'Grocery Purchases'!B413)</f>
        <v/>
      </c>
      <c r="C416" s="17" t="str">
        <f aca="false">IF('Grocery Purchases'!B413="","",'Grocery Purchases'!C413)</f>
        <v/>
      </c>
      <c r="D416" s="14" t="str">
        <f aca="false">IF('Grocery Purchases'!B413="","",'Grocery Purchases'!D413)</f>
        <v/>
      </c>
      <c r="E416" s="11" t="str">
        <f aca="false">IF('Grocery Purchases'!B413="","",'Grocery Purchases'!F413)</f>
        <v/>
      </c>
      <c r="F416" s="11" t="str">
        <f aca="false">IF('Grocery Purchases'!B413="","",'Grocery Purchases'!G413)</f>
        <v/>
      </c>
      <c r="G416" s="32" t="str">
        <f aca="false">IF('Grocery Purchases'!B413="","",'Grocery Purchases'!H413)</f>
        <v/>
      </c>
      <c r="H416" s="14" t="str">
        <f aca="false">IF('Grocery Purchases'!B413="","",'Grocery Purchases'!I413)</f>
        <v/>
      </c>
    </row>
    <row r="417" customFormat="false" ht="15" hidden="false" customHeight="true" outlineLevel="0" collapsed="false">
      <c r="A417" s="12" t="str">
        <f aca="false">IF('Grocery Purchases'!B414="","",'Grocery Purchases'!A414)</f>
        <v/>
      </c>
      <c r="B417" s="17" t="str">
        <f aca="false">IF('Grocery Purchases'!B414="","",'Grocery Purchases'!B414)</f>
        <v/>
      </c>
      <c r="C417" s="17" t="str">
        <f aca="false">IF('Grocery Purchases'!B414="","",'Grocery Purchases'!C414)</f>
        <v/>
      </c>
      <c r="D417" s="14" t="str">
        <f aca="false">IF('Grocery Purchases'!B414="","",'Grocery Purchases'!D414)</f>
        <v/>
      </c>
      <c r="E417" s="11" t="str">
        <f aca="false">IF('Grocery Purchases'!B414="","",'Grocery Purchases'!F414)</f>
        <v/>
      </c>
      <c r="F417" s="11" t="str">
        <f aca="false">IF('Grocery Purchases'!B414="","",'Grocery Purchases'!G414)</f>
        <v/>
      </c>
      <c r="G417" s="32" t="str">
        <f aca="false">IF('Grocery Purchases'!B414="","",'Grocery Purchases'!H414)</f>
        <v/>
      </c>
      <c r="H417" s="14" t="str">
        <f aca="false">IF('Grocery Purchases'!B414="","",'Grocery Purchases'!I414)</f>
        <v/>
      </c>
    </row>
    <row r="418" customFormat="false" ht="15" hidden="false" customHeight="true" outlineLevel="0" collapsed="false">
      <c r="A418" s="12" t="str">
        <f aca="false">IF('Grocery Purchases'!B415="","",'Grocery Purchases'!A415)</f>
        <v/>
      </c>
      <c r="B418" s="17" t="str">
        <f aca="false">IF('Grocery Purchases'!B415="","",'Grocery Purchases'!B415)</f>
        <v/>
      </c>
      <c r="C418" s="17" t="str">
        <f aca="false">IF('Grocery Purchases'!B415="","",'Grocery Purchases'!C415)</f>
        <v/>
      </c>
      <c r="D418" s="14" t="str">
        <f aca="false">IF('Grocery Purchases'!B415="","",'Grocery Purchases'!D415)</f>
        <v/>
      </c>
      <c r="E418" s="11" t="str">
        <f aca="false">IF('Grocery Purchases'!B415="","",'Grocery Purchases'!F415)</f>
        <v/>
      </c>
      <c r="F418" s="11" t="str">
        <f aca="false">IF('Grocery Purchases'!B415="","",'Grocery Purchases'!G415)</f>
        <v/>
      </c>
      <c r="G418" s="32" t="str">
        <f aca="false">IF('Grocery Purchases'!B415="","",'Grocery Purchases'!H415)</f>
        <v/>
      </c>
      <c r="H418" s="14" t="str">
        <f aca="false">IF('Grocery Purchases'!B415="","",'Grocery Purchases'!I415)</f>
        <v/>
      </c>
    </row>
    <row r="419" customFormat="false" ht="15" hidden="false" customHeight="true" outlineLevel="0" collapsed="false">
      <c r="A419" s="12" t="str">
        <f aca="false">IF('Grocery Purchases'!B416="","",'Grocery Purchases'!A416)</f>
        <v/>
      </c>
      <c r="B419" s="17" t="str">
        <f aca="false">IF('Grocery Purchases'!B416="","",'Grocery Purchases'!B416)</f>
        <v/>
      </c>
      <c r="C419" s="17" t="str">
        <f aca="false">IF('Grocery Purchases'!B416="","",'Grocery Purchases'!C416)</f>
        <v/>
      </c>
      <c r="D419" s="14" t="str">
        <f aca="false">IF('Grocery Purchases'!B416="","",'Grocery Purchases'!D416)</f>
        <v/>
      </c>
      <c r="E419" s="11" t="str">
        <f aca="false">IF('Grocery Purchases'!B416="","",'Grocery Purchases'!F416)</f>
        <v/>
      </c>
      <c r="F419" s="11" t="str">
        <f aca="false">IF('Grocery Purchases'!B416="","",'Grocery Purchases'!G416)</f>
        <v/>
      </c>
      <c r="G419" s="32" t="str">
        <f aca="false">IF('Grocery Purchases'!B416="","",'Grocery Purchases'!H416)</f>
        <v/>
      </c>
      <c r="H419" s="14" t="str">
        <f aca="false">IF('Grocery Purchases'!B416="","",'Grocery Purchases'!I416)</f>
        <v/>
      </c>
    </row>
    <row r="420" customFormat="false" ht="15" hidden="false" customHeight="true" outlineLevel="0" collapsed="false">
      <c r="A420" s="12" t="str">
        <f aca="false">IF('Grocery Purchases'!B417="","",'Grocery Purchases'!A417)</f>
        <v/>
      </c>
      <c r="B420" s="17" t="str">
        <f aca="false">IF('Grocery Purchases'!B417="","",'Grocery Purchases'!B417)</f>
        <v/>
      </c>
      <c r="C420" s="17" t="str">
        <f aca="false">IF('Grocery Purchases'!B417="","",'Grocery Purchases'!C417)</f>
        <v/>
      </c>
      <c r="D420" s="14" t="str">
        <f aca="false">IF('Grocery Purchases'!B417="","",'Grocery Purchases'!D417)</f>
        <v/>
      </c>
      <c r="E420" s="11" t="str">
        <f aca="false">IF('Grocery Purchases'!B417="","",'Grocery Purchases'!F417)</f>
        <v/>
      </c>
      <c r="F420" s="11" t="str">
        <f aca="false">IF('Grocery Purchases'!B417="","",'Grocery Purchases'!G417)</f>
        <v/>
      </c>
      <c r="G420" s="32" t="str">
        <f aca="false">IF('Grocery Purchases'!B417="","",'Grocery Purchases'!H417)</f>
        <v/>
      </c>
      <c r="H420" s="14" t="str">
        <f aca="false">IF('Grocery Purchases'!B417="","",'Grocery Purchases'!I417)</f>
        <v/>
      </c>
    </row>
    <row r="421" customFormat="false" ht="15" hidden="false" customHeight="true" outlineLevel="0" collapsed="false">
      <c r="A421" s="12" t="str">
        <f aca="false">IF('Grocery Purchases'!B418="","",'Grocery Purchases'!A418)</f>
        <v/>
      </c>
      <c r="B421" s="17" t="str">
        <f aca="false">IF('Grocery Purchases'!B418="","",'Grocery Purchases'!B418)</f>
        <v/>
      </c>
      <c r="C421" s="17" t="str">
        <f aca="false">IF('Grocery Purchases'!B418="","",'Grocery Purchases'!C418)</f>
        <v/>
      </c>
      <c r="D421" s="14" t="str">
        <f aca="false">IF('Grocery Purchases'!B418="","",'Grocery Purchases'!D418)</f>
        <v/>
      </c>
      <c r="E421" s="11" t="str">
        <f aca="false">IF('Grocery Purchases'!B418="","",'Grocery Purchases'!F418)</f>
        <v/>
      </c>
      <c r="F421" s="11" t="str">
        <f aca="false">IF('Grocery Purchases'!B418="","",'Grocery Purchases'!G418)</f>
        <v/>
      </c>
      <c r="G421" s="32" t="str">
        <f aca="false">IF('Grocery Purchases'!B418="","",'Grocery Purchases'!H418)</f>
        <v/>
      </c>
      <c r="H421" s="14" t="str">
        <f aca="false">IF('Grocery Purchases'!B418="","",'Grocery Purchases'!I418)</f>
        <v/>
      </c>
    </row>
    <row r="422" customFormat="false" ht="15" hidden="false" customHeight="true" outlineLevel="0" collapsed="false">
      <c r="A422" s="12" t="str">
        <f aca="false">IF('Grocery Purchases'!B419="","",'Grocery Purchases'!A419)</f>
        <v/>
      </c>
      <c r="B422" s="17" t="str">
        <f aca="false">IF('Grocery Purchases'!B419="","",'Grocery Purchases'!B419)</f>
        <v/>
      </c>
      <c r="C422" s="17" t="str">
        <f aca="false">IF('Grocery Purchases'!B419="","",'Grocery Purchases'!C419)</f>
        <v/>
      </c>
      <c r="D422" s="14" t="str">
        <f aca="false">IF('Grocery Purchases'!B419="","",'Grocery Purchases'!D419)</f>
        <v/>
      </c>
      <c r="E422" s="11" t="str">
        <f aca="false">IF('Grocery Purchases'!B419="","",'Grocery Purchases'!F419)</f>
        <v/>
      </c>
      <c r="F422" s="11" t="str">
        <f aca="false">IF('Grocery Purchases'!B419="","",'Grocery Purchases'!G419)</f>
        <v/>
      </c>
      <c r="G422" s="32" t="str">
        <f aca="false">IF('Grocery Purchases'!B419="","",'Grocery Purchases'!H419)</f>
        <v/>
      </c>
      <c r="H422" s="14" t="str">
        <f aca="false">IF('Grocery Purchases'!B419="","",'Grocery Purchases'!I419)</f>
        <v/>
      </c>
    </row>
    <row r="423" customFormat="false" ht="15" hidden="false" customHeight="true" outlineLevel="0" collapsed="false">
      <c r="A423" s="12" t="str">
        <f aca="false">IF('Grocery Purchases'!B420="","",'Grocery Purchases'!A420)</f>
        <v/>
      </c>
      <c r="B423" s="17" t="str">
        <f aca="false">IF('Grocery Purchases'!B420="","",'Grocery Purchases'!B420)</f>
        <v/>
      </c>
      <c r="C423" s="17" t="str">
        <f aca="false">IF('Grocery Purchases'!B420="","",'Grocery Purchases'!C420)</f>
        <v/>
      </c>
      <c r="D423" s="14" t="str">
        <f aca="false">IF('Grocery Purchases'!B420="","",'Grocery Purchases'!D420)</f>
        <v/>
      </c>
      <c r="E423" s="11" t="str">
        <f aca="false">IF('Grocery Purchases'!B420="","",'Grocery Purchases'!F420)</f>
        <v/>
      </c>
      <c r="F423" s="11" t="str">
        <f aca="false">IF('Grocery Purchases'!B420="","",'Grocery Purchases'!G420)</f>
        <v/>
      </c>
      <c r="G423" s="32" t="str">
        <f aca="false">IF('Grocery Purchases'!B420="","",'Grocery Purchases'!H420)</f>
        <v/>
      </c>
      <c r="H423" s="14" t="str">
        <f aca="false">IF('Grocery Purchases'!B420="","",'Grocery Purchases'!I420)</f>
        <v/>
      </c>
    </row>
    <row r="424" customFormat="false" ht="15" hidden="false" customHeight="true" outlineLevel="0" collapsed="false">
      <c r="A424" s="12" t="str">
        <f aca="false">IF('Grocery Purchases'!B421="","",'Grocery Purchases'!A421)</f>
        <v/>
      </c>
      <c r="B424" s="17" t="str">
        <f aca="false">IF('Grocery Purchases'!B421="","",'Grocery Purchases'!B421)</f>
        <v/>
      </c>
      <c r="C424" s="17" t="str">
        <f aca="false">IF('Grocery Purchases'!B421="","",'Grocery Purchases'!C421)</f>
        <v/>
      </c>
      <c r="D424" s="14" t="str">
        <f aca="false">IF('Grocery Purchases'!B421="","",'Grocery Purchases'!D421)</f>
        <v/>
      </c>
      <c r="E424" s="11" t="str">
        <f aca="false">IF('Grocery Purchases'!B421="","",'Grocery Purchases'!F421)</f>
        <v/>
      </c>
      <c r="F424" s="11" t="str">
        <f aca="false">IF('Grocery Purchases'!B421="","",'Grocery Purchases'!G421)</f>
        <v/>
      </c>
      <c r="G424" s="32" t="str">
        <f aca="false">IF('Grocery Purchases'!B421="","",'Grocery Purchases'!H421)</f>
        <v/>
      </c>
      <c r="H424" s="14" t="str">
        <f aca="false">IF('Grocery Purchases'!B421="","",'Grocery Purchases'!I421)</f>
        <v/>
      </c>
    </row>
    <row r="425" customFormat="false" ht="15" hidden="false" customHeight="true" outlineLevel="0" collapsed="false">
      <c r="A425" s="12" t="str">
        <f aca="false">IF('Grocery Purchases'!B422="","",'Grocery Purchases'!A422)</f>
        <v/>
      </c>
      <c r="B425" s="17" t="str">
        <f aca="false">IF('Grocery Purchases'!B422="","",'Grocery Purchases'!B422)</f>
        <v/>
      </c>
      <c r="C425" s="17" t="str">
        <f aca="false">IF('Grocery Purchases'!B422="","",'Grocery Purchases'!C422)</f>
        <v/>
      </c>
      <c r="D425" s="14" t="str">
        <f aca="false">IF('Grocery Purchases'!B422="","",'Grocery Purchases'!D422)</f>
        <v/>
      </c>
      <c r="E425" s="11" t="str">
        <f aca="false">IF('Grocery Purchases'!B422="","",'Grocery Purchases'!F422)</f>
        <v/>
      </c>
      <c r="F425" s="11" t="str">
        <f aca="false">IF('Grocery Purchases'!B422="","",'Grocery Purchases'!G422)</f>
        <v/>
      </c>
      <c r="G425" s="32" t="str">
        <f aca="false">IF('Grocery Purchases'!B422="","",'Grocery Purchases'!H422)</f>
        <v/>
      </c>
      <c r="H425" s="14" t="str">
        <f aca="false">IF('Grocery Purchases'!B422="","",'Grocery Purchases'!I422)</f>
        <v/>
      </c>
    </row>
    <row r="426" customFormat="false" ht="15" hidden="false" customHeight="true" outlineLevel="0" collapsed="false">
      <c r="A426" s="12" t="str">
        <f aca="false">IF('Grocery Purchases'!B423="","",'Grocery Purchases'!A423)</f>
        <v/>
      </c>
      <c r="B426" s="17" t="str">
        <f aca="false">IF('Grocery Purchases'!B423="","",'Grocery Purchases'!B423)</f>
        <v/>
      </c>
      <c r="C426" s="17" t="str">
        <f aca="false">IF('Grocery Purchases'!B423="","",'Grocery Purchases'!C423)</f>
        <v/>
      </c>
      <c r="D426" s="14" t="str">
        <f aca="false">IF('Grocery Purchases'!B423="","",'Grocery Purchases'!D423)</f>
        <v/>
      </c>
      <c r="E426" s="11" t="str">
        <f aca="false">IF('Grocery Purchases'!B423="","",'Grocery Purchases'!F423)</f>
        <v/>
      </c>
      <c r="F426" s="11" t="str">
        <f aca="false">IF('Grocery Purchases'!B423="","",'Grocery Purchases'!G423)</f>
        <v/>
      </c>
      <c r="G426" s="32" t="str">
        <f aca="false">IF('Grocery Purchases'!B423="","",'Grocery Purchases'!H423)</f>
        <v/>
      </c>
      <c r="H426" s="14" t="str">
        <f aca="false">IF('Grocery Purchases'!B423="","",'Grocery Purchases'!I423)</f>
        <v/>
      </c>
    </row>
    <row r="427" customFormat="false" ht="15" hidden="false" customHeight="true" outlineLevel="0" collapsed="false">
      <c r="A427" s="12" t="str">
        <f aca="false">IF('Grocery Purchases'!B424="","",'Grocery Purchases'!A424)</f>
        <v/>
      </c>
      <c r="B427" s="17" t="str">
        <f aca="false">IF('Grocery Purchases'!B424="","",'Grocery Purchases'!B424)</f>
        <v/>
      </c>
      <c r="C427" s="17" t="str">
        <f aca="false">IF('Grocery Purchases'!B424="","",'Grocery Purchases'!C424)</f>
        <v/>
      </c>
      <c r="D427" s="14" t="str">
        <f aca="false">IF('Grocery Purchases'!B424="","",'Grocery Purchases'!D424)</f>
        <v/>
      </c>
      <c r="E427" s="11" t="str">
        <f aca="false">IF('Grocery Purchases'!B424="","",'Grocery Purchases'!F424)</f>
        <v/>
      </c>
      <c r="F427" s="11" t="str">
        <f aca="false">IF('Grocery Purchases'!B424="","",'Grocery Purchases'!G424)</f>
        <v/>
      </c>
      <c r="G427" s="32" t="str">
        <f aca="false">IF('Grocery Purchases'!B424="","",'Grocery Purchases'!H424)</f>
        <v/>
      </c>
      <c r="H427" s="14" t="str">
        <f aca="false">IF('Grocery Purchases'!B424="","",'Grocery Purchases'!I424)</f>
        <v/>
      </c>
    </row>
    <row r="428" customFormat="false" ht="15" hidden="false" customHeight="true" outlineLevel="0" collapsed="false">
      <c r="A428" s="12" t="str">
        <f aca="false">IF('Grocery Purchases'!B425="","",'Grocery Purchases'!A425)</f>
        <v/>
      </c>
      <c r="B428" s="17" t="str">
        <f aca="false">IF('Grocery Purchases'!B425="","",'Grocery Purchases'!B425)</f>
        <v/>
      </c>
      <c r="C428" s="17" t="str">
        <f aca="false">IF('Grocery Purchases'!B425="","",'Grocery Purchases'!C425)</f>
        <v/>
      </c>
      <c r="D428" s="14" t="str">
        <f aca="false">IF('Grocery Purchases'!B425="","",'Grocery Purchases'!D425)</f>
        <v/>
      </c>
      <c r="E428" s="11" t="str">
        <f aca="false">IF('Grocery Purchases'!B425="","",'Grocery Purchases'!F425)</f>
        <v/>
      </c>
      <c r="F428" s="11" t="str">
        <f aca="false">IF('Grocery Purchases'!B425="","",'Grocery Purchases'!G425)</f>
        <v/>
      </c>
      <c r="G428" s="32" t="str">
        <f aca="false">IF('Grocery Purchases'!B425="","",'Grocery Purchases'!H425)</f>
        <v/>
      </c>
      <c r="H428" s="14" t="str">
        <f aca="false">IF('Grocery Purchases'!B425="","",'Grocery Purchases'!I425)</f>
        <v/>
      </c>
    </row>
    <row r="429" customFormat="false" ht="15" hidden="false" customHeight="true" outlineLevel="0" collapsed="false">
      <c r="A429" s="12" t="str">
        <f aca="false">IF('Grocery Purchases'!B426="","",'Grocery Purchases'!A426)</f>
        <v/>
      </c>
      <c r="B429" s="17" t="str">
        <f aca="false">IF('Grocery Purchases'!B426="","",'Grocery Purchases'!B426)</f>
        <v/>
      </c>
      <c r="C429" s="17" t="str">
        <f aca="false">IF('Grocery Purchases'!B426="","",'Grocery Purchases'!C426)</f>
        <v/>
      </c>
      <c r="D429" s="14" t="str">
        <f aca="false">IF('Grocery Purchases'!B426="","",'Grocery Purchases'!D426)</f>
        <v/>
      </c>
      <c r="E429" s="11" t="str">
        <f aca="false">IF('Grocery Purchases'!B426="","",'Grocery Purchases'!F426)</f>
        <v/>
      </c>
      <c r="F429" s="11" t="str">
        <f aca="false">IF('Grocery Purchases'!B426="","",'Grocery Purchases'!G426)</f>
        <v/>
      </c>
      <c r="G429" s="32" t="str">
        <f aca="false">IF('Grocery Purchases'!B426="","",'Grocery Purchases'!H426)</f>
        <v/>
      </c>
      <c r="H429" s="14" t="str">
        <f aca="false">IF('Grocery Purchases'!B426="","",'Grocery Purchases'!I426)</f>
        <v/>
      </c>
    </row>
    <row r="430" customFormat="false" ht="15" hidden="false" customHeight="true" outlineLevel="0" collapsed="false">
      <c r="A430" s="12" t="str">
        <f aca="false">IF('Grocery Purchases'!B427="","",'Grocery Purchases'!A427)</f>
        <v/>
      </c>
      <c r="B430" s="17" t="str">
        <f aca="false">IF('Grocery Purchases'!B427="","",'Grocery Purchases'!B427)</f>
        <v/>
      </c>
      <c r="C430" s="17" t="str">
        <f aca="false">IF('Grocery Purchases'!B427="","",'Grocery Purchases'!C427)</f>
        <v/>
      </c>
      <c r="D430" s="14" t="str">
        <f aca="false">IF('Grocery Purchases'!B427="","",'Grocery Purchases'!D427)</f>
        <v/>
      </c>
      <c r="E430" s="11" t="str">
        <f aca="false">IF('Grocery Purchases'!B427="","",'Grocery Purchases'!F427)</f>
        <v/>
      </c>
      <c r="F430" s="11" t="str">
        <f aca="false">IF('Grocery Purchases'!B427="","",'Grocery Purchases'!G427)</f>
        <v/>
      </c>
      <c r="G430" s="32" t="str">
        <f aca="false">IF('Grocery Purchases'!B427="","",'Grocery Purchases'!H427)</f>
        <v/>
      </c>
      <c r="H430" s="14" t="str">
        <f aca="false">IF('Grocery Purchases'!B427="","",'Grocery Purchases'!I427)</f>
        <v/>
      </c>
    </row>
    <row r="431" customFormat="false" ht="15" hidden="false" customHeight="true" outlineLevel="0" collapsed="false">
      <c r="A431" s="12" t="str">
        <f aca="false">IF('Grocery Purchases'!B428="","",'Grocery Purchases'!A428)</f>
        <v/>
      </c>
      <c r="B431" s="17" t="str">
        <f aca="false">IF('Grocery Purchases'!B428="","",'Grocery Purchases'!B428)</f>
        <v/>
      </c>
      <c r="C431" s="17" t="str">
        <f aca="false">IF('Grocery Purchases'!B428="","",'Grocery Purchases'!C428)</f>
        <v/>
      </c>
      <c r="D431" s="14" t="str">
        <f aca="false">IF('Grocery Purchases'!B428="","",'Grocery Purchases'!D428)</f>
        <v/>
      </c>
      <c r="E431" s="11" t="str">
        <f aca="false">IF('Grocery Purchases'!B428="","",'Grocery Purchases'!F428)</f>
        <v/>
      </c>
      <c r="F431" s="11" t="str">
        <f aca="false">IF('Grocery Purchases'!B428="","",'Grocery Purchases'!G428)</f>
        <v/>
      </c>
      <c r="G431" s="32" t="str">
        <f aca="false">IF('Grocery Purchases'!B428="","",'Grocery Purchases'!H428)</f>
        <v/>
      </c>
      <c r="H431" s="14" t="str">
        <f aca="false">IF('Grocery Purchases'!B428="","",'Grocery Purchases'!I428)</f>
        <v/>
      </c>
    </row>
    <row r="432" customFormat="false" ht="15" hidden="false" customHeight="true" outlineLevel="0" collapsed="false">
      <c r="A432" s="12" t="str">
        <f aca="false">IF('Grocery Purchases'!B429="","",'Grocery Purchases'!A429)</f>
        <v/>
      </c>
      <c r="B432" s="17" t="str">
        <f aca="false">IF('Grocery Purchases'!B429="","",'Grocery Purchases'!B429)</f>
        <v/>
      </c>
      <c r="C432" s="17" t="str">
        <f aca="false">IF('Grocery Purchases'!B429="","",'Grocery Purchases'!C429)</f>
        <v/>
      </c>
      <c r="D432" s="14" t="str">
        <f aca="false">IF('Grocery Purchases'!B429="","",'Grocery Purchases'!D429)</f>
        <v/>
      </c>
      <c r="E432" s="11" t="str">
        <f aca="false">IF('Grocery Purchases'!B429="","",'Grocery Purchases'!F429)</f>
        <v/>
      </c>
      <c r="F432" s="11" t="str">
        <f aca="false">IF('Grocery Purchases'!B429="","",'Grocery Purchases'!G429)</f>
        <v/>
      </c>
      <c r="G432" s="32" t="str">
        <f aca="false">IF('Grocery Purchases'!B429="","",'Grocery Purchases'!H429)</f>
        <v/>
      </c>
      <c r="H432" s="14" t="str">
        <f aca="false">IF('Grocery Purchases'!B429="","",'Grocery Purchases'!I429)</f>
        <v/>
      </c>
    </row>
    <row r="433" customFormat="false" ht="15" hidden="false" customHeight="true" outlineLevel="0" collapsed="false">
      <c r="A433" s="12" t="str">
        <f aca="false">IF('Grocery Purchases'!B430="","",'Grocery Purchases'!A430)</f>
        <v/>
      </c>
      <c r="B433" s="17" t="str">
        <f aca="false">IF('Grocery Purchases'!B430="","",'Grocery Purchases'!B430)</f>
        <v/>
      </c>
      <c r="C433" s="17" t="str">
        <f aca="false">IF('Grocery Purchases'!B430="","",'Grocery Purchases'!C430)</f>
        <v/>
      </c>
      <c r="D433" s="14" t="str">
        <f aca="false">IF('Grocery Purchases'!B430="","",'Grocery Purchases'!D430)</f>
        <v/>
      </c>
      <c r="E433" s="11" t="str">
        <f aca="false">IF('Grocery Purchases'!B430="","",'Grocery Purchases'!F430)</f>
        <v/>
      </c>
      <c r="F433" s="11" t="str">
        <f aca="false">IF('Grocery Purchases'!B430="","",'Grocery Purchases'!G430)</f>
        <v/>
      </c>
      <c r="G433" s="32" t="str">
        <f aca="false">IF('Grocery Purchases'!B430="","",'Grocery Purchases'!H430)</f>
        <v/>
      </c>
      <c r="H433" s="14" t="str">
        <f aca="false">IF('Grocery Purchases'!B430="","",'Grocery Purchases'!I430)</f>
        <v/>
      </c>
    </row>
    <row r="434" customFormat="false" ht="15" hidden="false" customHeight="true" outlineLevel="0" collapsed="false">
      <c r="A434" s="12" t="str">
        <f aca="false">IF('Grocery Purchases'!B431="","",'Grocery Purchases'!A431)</f>
        <v/>
      </c>
      <c r="B434" s="17" t="str">
        <f aca="false">IF('Grocery Purchases'!B431="","",'Grocery Purchases'!B431)</f>
        <v/>
      </c>
      <c r="C434" s="17" t="str">
        <f aca="false">IF('Grocery Purchases'!B431="","",'Grocery Purchases'!C431)</f>
        <v/>
      </c>
      <c r="D434" s="14" t="str">
        <f aca="false">IF('Grocery Purchases'!B431="","",'Grocery Purchases'!D431)</f>
        <v/>
      </c>
      <c r="E434" s="11" t="str">
        <f aca="false">IF('Grocery Purchases'!B431="","",'Grocery Purchases'!F431)</f>
        <v/>
      </c>
      <c r="F434" s="11" t="str">
        <f aca="false">IF('Grocery Purchases'!B431="","",'Grocery Purchases'!G431)</f>
        <v/>
      </c>
      <c r="G434" s="32" t="str">
        <f aca="false">IF('Grocery Purchases'!B431="","",'Grocery Purchases'!H431)</f>
        <v/>
      </c>
      <c r="H434" s="14" t="str">
        <f aca="false">IF('Grocery Purchases'!B431="","",'Grocery Purchases'!I431)</f>
        <v/>
      </c>
    </row>
    <row r="435" customFormat="false" ht="15" hidden="false" customHeight="true" outlineLevel="0" collapsed="false">
      <c r="A435" s="12" t="str">
        <f aca="false">IF('Grocery Purchases'!B432="","",'Grocery Purchases'!A432)</f>
        <v/>
      </c>
      <c r="B435" s="17" t="str">
        <f aca="false">IF('Grocery Purchases'!B432="","",'Grocery Purchases'!B432)</f>
        <v/>
      </c>
      <c r="C435" s="17" t="str">
        <f aca="false">IF('Grocery Purchases'!B432="","",'Grocery Purchases'!C432)</f>
        <v/>
      </c>
      <c r="D435" s="14" t="str">
        <f aca="false">IF('Grocery Purchases'!B432="","",'Grocery Purchases'!D432)</f>
        <v/>
      </c>
      <c r="E435" s="11" t="str">
        <f aca="false">IF('Grocery Purchases'!B432="","",'Grocery Purchases'!F432)</f>
        <v/>
      </c>
      <c r="F435" s="11" t="str">
        <f aca="false">IF('Grocery Purchases'!B432="","",'Grocery Purchases'!G432)</f>
        <v/>
      </c>
      <c r="G435" s="32" t="str">
        <f aca="false">IF('Grocery Purchases'!B432="","",'Grocery Purchases'!H432)</f>
        <v/>
      </c>
      <c r="H435" s="14" t="str">
        <f aca="false">IF('Grocery Purchases'!B432="","",'Grocery Purchases'!I432)</f>
        <v/>
      </c>
    </row>
    <row r="436" customFormat="false" ht="15" hidden="false" customHeight="true" outlineLevel="0" collapsed="false">
      <c r="A436" s="12" t="str">
        <f aca="false">IF('Grocery Purchases'!B433="","",'Grocery Purchases'!A433)</f>
        <v/>
      </c>
      <c r="B436" s="17" t="str">
        <f aca="false">IF('Grocery Purchases'!B433="","",'Grocery Purchases'!B433)</f>
        <v/>
      </c>
      <c r="C436" s="17" t="str">
        <f aca="false">IF('Grocery Purchases'!B433="","",'Grocery Purchases'!C433)</f>
        <v/>
      </c>
      <c r="D436" s="14" t="str">
        <f aca="false">IF('Grocery Purchases'!B433="","",'Grocery Purchases'!D433)</f>
        <v/>
      </c>
      <c r="E436" s="11" t="str">
        <f aca="false">IF('Grocery Purchases'!B433="","",'Grocery Purchases'!F433)</f>
        <v/>
      </c>
      <c r="F436" s="11" t="str">
        <f aca="false">IF('Grocery Purchases'!B433="","",'Grocery Purchases'!G433)</f>
        <v/>
      </c>
      <c r="G436" s="32" t="str">
        <f aca="false">IF('Grocery Purchases'!B433="","",'Grocery Purchases'!H433)</f>
        <v/>
      </c>
      <c r="H436" s="14" t="str">
        <f aca="false">IF('Grocery Purchases'!B433="","",'Grocery Purchases'!I433)</f>
        <v/>
      </c>
    </row>
    <row r="437" customFormat="false" ht="15" hidden="false" customHeight="true" outlineLevel="0" collapsed="false">
      <c r="A437" s="12" t="str">
        <f aca="false">IF('Grocery Purchases'!B434="","",'Grocery Purchases'!A434)</f>
        <v/>
      </c>
      <c r="B437" s="17" t="str">
        <f aca="false">IF('Grocery Purchases'!B434="","",'Grocery Purchases'!B434)</f>
        <v/>
      </c>
      <c r="C437" s="17" t="str">
        <f aca="false">IF('Grocery Purchases'!B434="","",'Grocery Purchases'!C434)</f>
        <v/>
      </c>
      <c r="D437" s="14" t="str">
        <f aca="false">IF('Grocery Purchases'!B434="","",'Grocery Purchases'!D434)</f>
        <v/>
      </c>
      <c r="E437" s="11" t="str">
        <f aca="false">IF('Grocery Purchases'!B434="","",'Grocery Purchases'!F434)</f>
        <v/>
      </c>
      <c r="F437" s="11" t="str">
        <f aca="false">IF('Grocery Purchases'!B434="","",'Grocery Purchases'!G434)</f>
        <v/>
      </c>
      <c r="G437" s="32" t="str">
        <f aca="false">IF('Grocery Purchases'!B434="","",'Grocery Purchases'!H434)</f>
        <v/>
      </c>
      <c r="H437" s="14" t="str">
        <f aca="false">IF('Grocery Purchases'!B434="","",'Grocery Purchases'!I434)</f>
        <v/>
      </c>
    </row>
    <row r="438" customFormat="false" ht="15" hidden="false" customHeight="true" outlineLevel="0" collapsed="false">
      <c r="A438" s="12" t="str">
        <f aca="false">IF('Grocery Purchases'!B435="","",'Grocery Purchases'!A435)</f>
        <v/>
      </c>
      <c r="B438" s="17" t="str">
        <f aca="false">IF('Grocery Purchases'!B435="","",'Grocery Purchases'!B435)</f>
        <v/>
      </c>
      <c r="C438" s="17" t="str">
        <f aca="false">IF('Grocery Purchases'!B435="","",'Grocery Purchases'!C435)</f>
        <v/>
      </c>
      <c r="D438" s="14" t="str">
        <f aca="false">IF('Grocery Purchases'!B435="","",'Grocery Purchases'!D435)</f>
        <v/>
      </c>
      <c r="E438" s="11" t="str">
        <f aca="false">IF('Grocery Purchases'!B435="","",'Grocery Purchases'!F435)</f>
        <v/>
      </c>
      <c r="F438" s="11" t="str">
        <f aca="false">IF('Grocery Purchases'!B435="","",'Grocery Purchases'!G435)</f>
        <v/>
      </c>
      <c r="G438" s="32" t="str">
        <f aca="false">IF('Grocery Purchases'!B435="","",'Grocery Purchases'!H435)</f>
        <v/>
      </c>
      <c r="H438" s="14" t="str">
        <f aca="false">IF('Grocery Purchases'!B435="","",'Grocery Purchases'!I435)</f>
        <v/>
      </c>
    </row>
    <row r="439" customFormat="false" ht="15" hidden="false" customHeight="true" outlineLevel="0" collapsed="false">
      <c r="A439" s="12" t="str">
        <f aca="false">IF('Grocery Purchases'!B436="","",'Grocery Purchases'!A436)</f>
        <v/>
      </c>
      <c r="B439" s="17" t="str">
        <f aca="false">IF('Grocery Purchases'!B436="","",'Grocery Purchases'!B436)</f>
        <v/>
      </c>
      <c r="C439" s="17" t="str">
        <f aca="false">IF('Grocery Purchases'!B436="","",'Grocery Purchases'!C436)</f>
        <v/>
      </c>
      <c r="D439" s="14" t="str">
        <f aca="false">IF('Grocery Purchases'!B436="","",'Grocery Purchases'!D436)</f>
        <v/>
      </c>
      <c r="E439" s="11" t="str">
        <f aca="false">IF('Grocery Purchases'!B436="","",'Grocery Purchases'!F436)</f>
        <v/>
      </c>
      <c r="F439" s="11" t="str">
        <f aca="false">IF('Grocery Purchases'!B436="","",'Grocery Purchases'!G436)</f>
        <v/>
      </c>
      <c r="G439" s="32" t="str">
        <f aca="false">IF('Grocery Purchases'!B436="","",'Grocery Purchases'!H436)</f>
        <v/>
      </c>
      <c r="H439" s="14" t="str">
        <f aca="false">IF('Grocery Purchases'!B436="","",'Grocery Purchases'!I436)</f>
        <v/>
      </c>
    </row>
    <row r="440" customFormat="false" ht="15" hidden="false" customHeight="true" outlineLevel="0" collapsed="false">
      <c r="A440" s="12" t="str">
        <f aca="false">IF('Grocery Purchases'!B437="","",'Grocery Purchases'!A437)</f>
        <v/>
      </c>
      <c r="B440" s="17" t="str">
        <f aca="false">IF('Grocery Purchases'!B437="","",'Grocery Purchases'!B437)</f>
        <v/>
      </c>
      <c r="C440" s="17" t="str">
        <f aca="false">IF('Grocery Purchases'!B437="","",'Grocery Purchases'!C437)</f>
        <v/>
      </c>
      <c r="D440" s="14" t="str">
        <f aca="false">IF('Grocery Purchases'!B437="","",'Grocery Purchases'!D437)</f>
        <v/>
      </c>
      <c r="E440" s="11" t="str">
        <f aca="false">IF('Grocery Purchases'!B437="","",'Grocery Purchases'!F437)</f>
        <v/>
      </c>
      <c r="F440" s="11" t="str">
        <f aca="false">IF('Grocery Purchases'!B437="","",'Grocery Purchases'!G437)</f>
        <v/>
      </c>
      <c r="G440" s="32" t="str">
        <f aca="false">IF('Grocery Purchases'!B437="","",'Grocery Purchases'!H437)</f>
        <v/>
      </c>
      <c r="H440" s="14" t="str">
        <f aca="false">IF('Grocery Purchases'!B437="","",'Grocery Purchases'!I437)</f>
        <v/>
      </c>
    </row>
    <row r="441" customFormat="false" ht="15" hidden="false" customHeight="true" outlineLevel="0" collapsed="false">
      <c r="A441" s="12" t="str">
        <f aca="false">IF('Grocery Purchases'!B438="","",'Grocery Purchases'!A438)</f>
        <v/>
      </c>
      <c r="B441" s="17" t="str">
        <f aca="false">IF('Grocery Purchases'!B438="","",'Grocery Purchases'!B438)</f>
        <v/>
      </c>
      <c r="C441" s="17" t="str">
        <f aca="false">IF('Grocery Purchases'!B438="","",'Grocery Purchases'!C438)</f>
        <v/>
      </c>
      <c r="D441" s="14" t="str">
        <f aca="false">IF('Grocery Purchases'!B438="","",'Grocery Purchases'!D438)</f>
        <v/>
      </c>
      <c r="E441" s="11" t="str">
        <f aca="false">IF('Grocery Purchases'!B438="","",'Grocery Purchases'!F438)</f>
        <v/>
      </c>
      <c r="F441" s="11" t="str">
        <f aca="false">IF('Grocery Purchases'!B438="","",'Grocery Purchases'!G438)</f>
        <v/>
      </c>
      <c r="G441" s="32" t="str">
        <f aca="false">IF('Grocery Purchases'!B438="","",'Grocery Purchases'!H438)</f>
        <v/>
      </c>
      <c r="H441" s="14" t="str">
        <f aca="false">IF('Grocery Purchases'!B438="","",'Grocery Purchases'!I438)</f>
        <v/>
      </c>
    </row>
    <row r="442" customFormat="false" ht="15" hidden="false" customHeight="true" outlineLevel="0" collapsed="false">
      <c r="A442" s="12" t="str">
        <f aca="false">IF('Grocery Purchases'!B439="","",'Grocery Purchases'!A439)</f>
        <v/>
      </c>
      <c r="B442" s="17" t="str">
        <f aca="false">IF('Grocery Purchases'!B439="","",'Grocery Purchases'!B439)</f>
        <v/>
      </c>
      <c r="C442" s="17" t="str">
        <f aca="false">IF('Grocery Purchases'!B439="","",'Grocery Purchases'!C439)</f>
        <v/>
      </c>
      <c r="D442" s="14" t="str">
        <f aca="false">IF('Grocery Purchases'!B439="","",'Grocery Purchases'!D439)</f>
        <v/>
      </c>
      <c r="E442" s="11" t="str">
        <f aca="false">IF('Grocery Purchases'!B439="","",'Grocery Purchases'!F439)</f>
        <v/>
      </c>
      <c r="F442" s="11" t="str">
        <f aca="false">IF('Grocery Purchases'!B439="","",'Grocery Purchases'!G439)</f>
        <v/>
      </c>
      <c r="G442" s="32" t="str">
        <f aca="false">IF('Grocery Purchases'!B439="","",'Grocery Purchases'!H439)</f>
        <v/>
      </c>
      <c r="H442" s="14" t="str">
        <f aca="false">IF('Grocery Purchases'!B439="","",'Grocery Purchases'!I439)</f>
        <v/>
      </c>
    </row>
    <row r="443" customFormat="false" ht="15" hidden="false" customHeight="true" outlineLevel="0" collapsed="false">
      <c r="A443" s="12" t="str">
        <f aca="false">IF('Grocery Purchases'!B440="","",'Grocery Purchases'!A440)</f>
        <v/>
      </c>
      <c r="B443" s="17" t="str">
        <f aca="false">IF('Grocery Purchases'!B440="","",'Grocery Purchases'!B440)</f>
        <v/>
      </c>
      <c r="C443" s="17" t="str">
        <f aca="false">IF('Grocery Purchases'!B440="","",'Grocery Purchases'!C440)</f>
        <v/>
      </c>
      <c r="D443" s="14" t="str">
        <f aca="false">IF('Grocery Purchases'!B440="","",'Grocery Purchases'!D440)</f>
        <v/>
      </c>
      <c r="E443" s="11" t="str">
        <f aca="false">IF('Grocery Purchases'!B440="","",'Grocery Purchases'!F440)</f>
        <v/>
      </c>
      <c r="F443" s="11" t="str">
        <f aca="false">IF('Grocery Purchases'!B440="","",'Grocery Purchases'!G440)</f>
        <v/>
      </c>
      <c r="G443" s="32" t="str">
        <f aca="false">IF('Grocery Purchases'!B440="","",'Grocery Purchases'!H440)</f>
        <v/>
      </c>
      <c r="H443" s="14" t="str">
        <f aca="false">IF('Grocery Purchases'!B440="","",'Grocery Purchases'!I440)</f>
        <v/>
      </c>
    </row>
    <row r="444" customFormat="false" ht="15" hidden="false" customHeight="true" outlineLevel="0" collapsed="false">
      <c r="A444" s="12" t="str">
        <f aca="false">IF('Grocery Purchases'!B441="","",'Grocery Purchases'!A441)</f>
        <v/>
      </c>
      <c r="B444" s="17" t="str">
        <f aca="false">IF('Grocery Purchases'!B441="","",'Grocery Purchases'!B441)</f>
        <v/>
      </c>
      <c r="C444" s="17" t="str">
        <f aca="false">IF('Grocery Purchases'!B441="","",'Grocery Purchases'!C441)</f>
        <v/>
      </c>
      <c r="D444" s="14" t="str">
        <f aca="false">IF('Grocery Purchases'!B441="","",'Grocery Purchases'!D441)</f>
        <v/>
      </c>
      <c r="E444" s="11" t="str">
        <f aca="false">IF('Grocery Purchases'!B441="","",'Grocery Purchases'!F441)</f>
        <v/>
      </c>
      <c r="F444" s="11" t="str">
        <f aca="false">IF('Grocery Purchases'!B441="","",'Grocery Purchases'!G441)</f>
        <v/>
      </c>
      <c r="G444" s="32" t="str">
        <f aca="false">IF('Grocery Purchases'!B441="","",'Grocery Purchases'!H441)</f>
        <v/>
      </c>
      <c r="H444" s="14" t="str">
        <f aca="false">IF('Grocery Purchases'!B441="","",'Grocery Purchases'!I441)</f>
        <v/>
      </c>
    </row>
    <row r="445" customFormat="false" ht="15" hidden="false" customHeight="true" outlineLevel="0" collapsed="false">
      <c r="A445" s="12" t="str">
        <f aca="false">IF('Grocery Purchases'!B442="","",'Grocery Purchases'!A442)</f>
        <v/>
      </c>
      <c r="B445" s="17" t="str">
        <f aca="false">IF('Grocery Purchases'!B442="","",'Grocery Purchases'!B442)</f>
        <v/>
      </c>
      <c r="C445" s="17" t="str">
        <f aca="false">IF('Grocery Purchases'!B442="","",'Grocery Purchases'!C442)</f>
        <v/>
      </c>
      <c r="D445" s="14" t="str">
        <f aca="false">IF('Grocery Purchases'!B442="","",'Grocery Purchases'!D442)</f>
        <v/>
      </c>
      <c r="E445" s="11" t="str">
        <f aca="false">IF('Grocery Purchases'!B442="","",'Grocery Purchases'!F442)</f>
        <v/>
      </c>
      <c r="F445" s="11" t="str">
        <f aca="false">IF('Grocery Purchases'!B442="","",'Grocery Purchases'!G442)</f>
        <v/>
      </c>
      <c r="G445" s="32" t="str">
        <f aca="false">IF('Grocery Purchases'!B442="","",'Grocery Purchases'!H442)</f>
        <v/>
      </c>
      <c r="H445" s="14" t="str">
        <f aca="false">IF('Grocery Purchases'!B442="","",'Grocery Purchases'!I442)</f>
        <v/>
      </c>
    </row>
    <row r="446" customFormat="false" ht="15" hidden="false" customHeight="true" outlineLevel="0" collapsed="false">
      <c r="A446" s="12" t="str">
        <f aca="false">IF('Grocery Purchases'!B443="","",'Grocery Purchases'!A443)</f>
        <v/>
      </c>
      <c r="B446" s="17" t="str">
        <f aca="false">IF('Grocery Purchases'!B443="","",'Grocery Purchases'!B443)</f>
        <v/>
      </c>
      <c r="C446" s="17" t="str">
        <f aca="false">IF('Grocery Purchases'!B443="","",'Grocery Purchases'!C443)</f>
        <v/>
      </c>
      <c r="D446" s="14" t="str">
        <f aca="false">IF('Grocery Purchases'!B443="","",'Grocery Purchases'!D443)</f>
        <v/>
      </c>
      <c r="E446" s="11" t="str">
        <f aca="false">IF('Grocery Purchases'!B443="","",'Grocery Purchases'!F443)</f>
        <v/>
      </c>
      <c r="F446" s="11" t="str">
        <f aca="false">IF('Grocery Purchases'!B443="","",'Grocery Purchases'!G443)</f>
        <v/>
      </c>
      <c r="G446" s="32" t="str">
        <f aca="false">IF('Grocery Purchases'!B443="","",'Grocery Purchases'!H443)</f>
        <v/>
      </c>
      <c r="H446" s="14" t="str">
        <f aca="false">IF('Grocery Purchases'!B443="","",'Grocery Purchases'!I443)</f>
        <v/>
      </c>
    </row>
    <row r="447" customFormat="false" ht="15" hidden="false" customHeight="true" outlineLevel="0" collapsed="false">
      <c r="A447" s="12" t="str">
        <f aca="false">IF('Grocery Purchases'!B444="","",'Grocery Purchases'!A444)</f>
        <v/>
      </c>
      <c r="B447" s="17" t="str">
        <f aca="false">IF('Grocery Purchases'!B444="","",'Grocery Purchases'!B444)</f>
        <v/>
      </c>
      <c r="C447" s="17" t="str">
        <f aca="false">IF('Grocery Purchases'!B444="","",'Grocery Purchases'!C444)</f>
        <v/>
      </c>
      <c r="D447" s="14" t="str">
        <f aca="false">IF('Grocery Purchases'!B444="","",'Grocery Purchases'!D444)</f>
        <v/>
      </c>
      <c r="E447" s="11" t="str">
        <f aca="false">IF('Grocery Purchases'!B444="","",'Grocery Purchases'!F444)</f>
        <v/>
      </c>
      <c r="F447" s="11" t="str">
        <f aca="false">IF('Grocery Purchases'!B444="","",'Grocery Purchases'!G444)</f>
        <v/>
      </c>
      <c r="G447" s="32" t="str">
        <f aca="false">IF('Grocery Purchases'!B444="","",'Grocery Purchases'!H444)</f>
        <v/>
      </c>
      <c r="H447" s="14" t="str">
        <f aca="false">IF('Grocery Purchases'!B444="","",'Grocery Purchases'!I444)</f>
        <v/>
      </c>
    </row>
    <row r="448" customFormat="false" ht="15" hidden="false" customHeight="true" outlineLevel="0" collapsed="false">
      <c r="A448" s="12" t="str">
        <f aca="false">IF('Grocery Purchases'!B445="","",'Grocery Purchases'!A445)</f>
        <v/>
      </c>
      <c r="B448" s="17" t="str">
        <f aca="false">IF('Grocery Purchases'!B445="","",'Grocery Purchases'!B445)</f>
        <v/>
      </c>
      <c r="C448" s="17" t="str">
        <f aca="false">IF('Grocery Purchases'!B445="","",'Grocery Purchases'!C445)</f>
        <v/>
      </c>
      <c r="D448" s="14" t="str">
        <f aca="false">IF('Grocery Purchases'!B445="","",'Grocery Purchases'!D445)</f>
        <v/>
      </c>
      <c r="E448" s="11" t="str">
        <f aca="false">IF('Grocery Purchases'!B445="","",'Grocery Purchases'!F445)</f>
        <v/>
      </c>
      <c r="F448" s="11" t="str">
        <f aca="false">IF('Grocery Purchases'!B445="","",'Grocery Purchases'!G445)</f>
        <v/>
      </c>
      <c r="G448" s="32" t="str">
        <f aca="false">IF('Grocery Purchases'!B445="","",'Grocery Purchases'!H445)</f>
        <v/>
      </c>
      <c r="H448" s="14" t="str">
        <f aca="false">IF('Grocery Purchases'!B445="","",'Grocery Purchases'!I445)</f>
        <v/>
      </c>
    </row>
    <row r="449" customFormat="false" ht="15" hidden="false" customHeight="true" outlineLevel="0" collapsed="false">
      <c r="A449" s="12" t="str">
        <f aca="false">IF('Grocery Purchases'!B446="","",'Grocery Purchases'!A446)</f>
        <v/>
      </c>
      <c r="B449" s="17" t="str">
        <f aca="false">IF('Grocery Purchases'!B446="","",'Grocery Purchases'!B446)</f>
        <v/>
      </c>
      <c r="C449" s="17" t="str">
        <f aca="false">IF('Grocery Purchases'!B446="","",'Grocery Purchases'!C446)</f>
        <v/>
      </c>
      <c r="D449" s="14" t="str">
        <f aca="false">IF('Grocery Purchases'!B446="","",'Grocery Purchases'!D446)</f>
        <v/>
      </c>
      <c r="E449" s="11" t="str">
        <f aca="false">IF('Grocery Purchases'!B446="","",'Grocery Purchases'!F446)</f>
        <v/>
      </c>
      <c r="F449" s="11" t="str">
        <f aca="false">IF('Grocery Purchases'!B446="","",'Grocery Purchases'!G446)</f>
        <v/>
      </c>
      <c r="G449" s="32" t="str">
        <f aca="false">IF('Grocery Purchases'!B446="","",'Grocery Purchases'!H446)</f>
        <v/>
      </c>
      <c r="H449" s="14" t="str">
        <f aca="false">IF('Grocery Purchases'!B446="","",'Grocery Purchases'!I446)</f>
        <v/>
      </c>
    </row>
    <row r="450" customFormat="false" ht="15" hidden="false" customHeight="true" outlineLevel="0" collapsed="false">
      <c r="A450" s="12" t="str">
        <f aca="false">IF('Grocery Purchases'!B447="","",'Grocery Purchases'!A447)</f>
        <v/>
      </c>
      <c r="B450" s="17" t="str">
        <f aca="false">IF('Grocery Purchases'!B447="","",'Grocery Purchases'!B447)</f>
        <v/>
      </c>
      <c r="C450" s="17" t="str">
        <f aca="false">IF('Grocery Purchases'!B447="","",'Grocery Purchases'!C447)</f>
        <v/>
      </c>
      <c r="D450" s="14" t="str">
        <f aca="false">IF('Grocery Purchases'!B447="","",'Grocery Purchases'!D447)</f>
        <v/>
      </c>
      <c r="E450" s="11" t="str">
        <f aca="false">IF('Grocery Purchases'!B447="","",'Grocery Purchases'!F447)</f>
        <v/>
      </c>
      <c r="F450" s="11" t="str">
        <f aca="false">IF('Grocery Purchases'!B447="","",'Grocery Purchases'!G447)</f>
        <v/>
      </c>
      <c r="G450" s="32" t="str">
        <f aca="false">IF('Grocery Purchases'!B447="","",'Grocery Purchases'!H447)</f>
        <v/>
      </c>
      <c r="H450" s="14" t="str">
        <f aca="false">IF('Grocery Purchases'!B447="","",'Grocery Purchases'!I447)</f>
        <v/>
      </c>
    </row>
    <row r="451" customFormat="false" ht="15" hidden="false" customHeight="true" outlineLevel="0" collapsed="false">
      <c r="A451" s="12" t="str">
        <f aca="false">IF('Grocery Purchases'!B448="","",'Grocery Purchases'!A448)</f>
        <v/>
      </c>
      <c r="B451" s="17" t="str">
        <f aca="false">IF('Grocery Purchases'!B448="","",'Grocery Purchases'!B448)</f>
        <v/>
      </c>
      <c r="C451" s="17" t="str">
        <f aca="false">IF('Grocery Purchases'!B448="","",'Grocery Purchases'!C448)</f>
        <v/>
      </c>
      <c r="D451" s="14" t="str">
        <f aca="false">IF('Grocery Purchases'!B448="","",'Grocery Purchases'!D448)</f>
        <v/>
      </c>
      <c r="E451" s="11" t="str">
        <f aca="false">IF('Grocery Purchases'!B448="","",'Grocery Purchases'!F448)</f>
        <v/>
      </c>
      <c r="F451" s="11" t="str">
        <f aca="false">IF('Grocery Purchases'!B448="","",'Grocery Purchases'!G448)</f>
        <v/>
      </c>
      <c r="G451" s="32" t="str">
        <f aca="false">IF('Grocery Purchases'!B448="","",'Grocery Purchases'!H448)</f>
        <v/>
      </c>
      <c r="H451" s="14" t="str">
        <f aca="false">IF('Grocery Purchases'!B448="","",'Grocery Purchases'!I448)</f>
        <v/>
      </c>
    </row>
    <row r="452" customFormat="false" ht="15" hidden="false" customHeight="true" outlineLevel="0" collapsed="false">
      <c r="A452" s="12" t="str">
        <f aca="false">IF('Grocery Purchases'!B449="","",'Grocery Purchases'!A449)</f>
        <v/>
      </c>
      <c r="B452" s="17" t="str">
        <f aca="false">IF('Grocery Purchases'!B449="","",'Grocery Purchases'!B449)</f>
        <v/>
      </c>
      <c r="C452" s="17" t="str">
        <f aca="false">IF('Grocery Purchases'!B449="","",'Grocery Purchases'!C449)</f>
        <v/>
      </c>
      <c r="D452" s="14" t="str">
        <f aca="false">IF('Grocery Purchases'!B449="","",'Grocery Purchases'!D449)</f>
        <v/>
      </c>
      <c r="E452" s="11" t="str">
        <f aca="false">IF('Grocery Purchases'!B449="","",'Grocery Purchases'!F449)</f>
        <v/>
      </c>
      <c r="F452" s="11" t="str">
        <f aca="false">IF('Grocery Purchases'!B449="","",'Grocery Purchases'!G449)</f>
        <v/>
      </c>
      <c r="G452" s="32" t="str">
        <f aca="false">IF('Grocery Purchases'!B449="","",'Grocery Purchases'!H449)</f>
        <v/>
      </c>
      <c r="H452" s="14" t="str">
        <f aca="false">IF('Grocery Purchases'!B449="","",'Grocery Purchases'!I449)</f>
        <v/>
      </c>
    </row>
    <row r="453" customFormat="false" ht="15" hidden="false" customHeight="true" outlineLevel="0" collapsed="false">
      <c r="A453" s="12" t="str">
        <f aca="false">IF('Grocery Purchases'!B450="","",'Grocery Purchases'!A450)</f>
        <v/>
      </c>
      <c r="B453" s="17" t="str">
        <f aca="false">IF('Grocery Purchases'!B450="","",'Grocery Purchases'!B450)</f>
        <v/>
      </c>
      <c r="C453" s="17" t="str">
        <f aca="false">IF('Grocery Purchases'!B450="","",'Grocery Purchases'!C450)</f>
        <v/>
      </c>
      <c r="D453" s="14" t="str">
        <f aca="false">IF('Grocery Purchases'!B450="","",'Grocery Purchases'!D450)</f>
        <v/>
      </c>
      <c r="E453" s="11" t="str">
        <f aca="false">IF('Grocery Purchases'!B450="","",'Grocery Purchases'!F450)</f>
        <v/>
      </c>
      <c r="F453" s="11" t="str">
        <f aca="false">IF('Grocery Purchases'!B450="","",'Grocery Purchases'!G450)</f>
        <v/>
      </c>
      <c r="G453" s="32" t="str">
        <f aca="false">IF('Grocery Purchases'!B450="","",'Grocery Purchases'!H450)</f>
        <v/>
      </c>
      <c r="H453" s="14" t="str">
        <f aca="false">IF('Grocery Purchases'!B450="","",'Grocery Purchases'!I450)</f>
        <v/>
      </c>
    </row>
    <row r="454" customFormat="false" ht="15" hidden="false" customHeight="true" outlineLevel="0" collapsed="false">
      <c r="A454" s="12" t="str">
        <f aca="false">IF('Grocery Purchases'!B451="","",'Grocery Purchases'!A451)</f>
        <v/>
      </c>
      <c r="B454" s="17" t="str">
        <f aca="false">IF('Grocery Purchases'!B451="","",'Grocery Purchases'!B451)</f>
        <v/>
      </c>
      <c r="C454" s="17" t="str">
        <f aca="false">IF('Grocery Purchases'!B451="","",'Grocery Purchases'!C451)</f>
        <v/>
      </c>
      <c r="D454" s="14" t="str">
        <f aca="false">IF('Grocery Purchases'!B451="","",'Grocery Purchases'!D451)</f>
        <v/>
      </c>
      <c r="E454" s="11" t="str">
        <f aca="false">IF('Grocery Purchases'!B451="","",'Grocery Purchases'!F451)</f>
        <v/>
      </c>
      <c r="F454" s="11" t="str">
        <f aca="false">IF('Grocery Purchases'!B451="","",'Grocery Purchases'!G451)</f>
        <v/>
      </c>
      <c r="G454" s="32" t="str">
        <f aca="false">IF('Grocery Purchases'!B451="","",'Grocery Purchases'!H451)</f>
        <v/>
      </c>
      <c r="H454" s="14" t="str">
        <f aca="false">IF('Grocery Purchases'!B451="","",'Grocery Purchases'!I451)</f>
        <v/>
      </c>
    </row>
    <row r="455" customFormat="false" ht="15" hidden="false" customHeight="true" outlineLevel="0" collapsed="false">
      <c r="A455" s="12" t="str">
        <f aca="false">IF('Grocery Purchases'!B452="","",'Grocery Purchases'!A452)</f>
        <v/>
      </c>
      <c r="B455" s="17" t="str">
        <f aca="false">IF('Grocery Purchases'!B452="","",'Grocery Purchases'!B452)</f>
        <v/>
      </c>
      <c r="C455" s="17" t="str">
        <f aca="false">IF('Grocery Purchases'!B452="","",'Grocery Purchases'!C452)</f>
        <v/>
      </c>
      <c r="D455" s="14" t="str">
        <f aca="false">IF('Grocery Purchases'!B452="","",'Grocery Purchases'!D452)</f>
        <v/>
      </c>
      <c r="E455" s="11" t="str">
        <f aca="false">IF('Grocery Purchases'!B452="","",'Grocery Purchases'!F452)</f>
        <v/>
      </c>
      <c r="F455" s="11" t="str">
        <f aca="false">IF('Grocery Purchases'!B452="","",'Grocery Purchases'!G452)</f>
        <v/>
      </c>
      <c r="G455" s="32" t="str">
        <f aca="false">IF('Grocery Purchases'!B452="","",'Grocery Purchases'!H452)</f>
        <v/>
      </c>
      <c r="H455" s="14" t="str">
        <f aca="false">IF('Grocery Purchases'!B452="","",'Grocery Purchases'!I452)</f>
        <v/>
      </c>
    </row>
    <row r="456" customFormat="false" ht="15" hidden="false" customHeight="true" outlineLevel="0" collapsed="false">
      <c r="A456" s="12" t="str">
        <f aca="false">IF('Grocery Purchases'!B453="","",'Grocery Purchases'!A453)</f>
        <v/>
      </c>
      <c r="B456" s="17" t="str">
        <f aca="false">IF('Grocery Purchases'!B453="","",'Grocery Purchases'!B453)</f>
        <v/>
      </c>
      <c r="C456" s="17" t="str">
        <f aca="false">IF('Grocery Purchases'!B453="","",'Grocery Purchases'!C453)</f>
        <v/>
      </c>
      <c r="D456" s="14" t="str">
        <f aca="false">IF('Grocery Purchases'!B453="","",'Grocery Purchases'!D453)</f>
        <v/>
      </c>
      <c r="E456" s="11" t="str">
        <f aca="false">IF('Grocery Purchases'!B453="","",'Grocery Purchases'!F453)</f>
        <v/>
      </c>
      <c r="F456" s="11" t="str">
        <f aca="false">IF('Grocery Purchases'!B453="","",'Grocery Purchases'!G453)</f>
        <v/>
      </c>
      <c r="G456" s="32" t="str">
        <f aca="false">IF('Grocery Purchases'!B453="","",'Grocery Purchases'!H453)</f>
        <v/>
      </c>
      <c r="H456" s="14" t="str">
        <f aca="false">IF('Grocery Purchases'!B453="","",'Grocery Purchases'!I453)</f>
        <v/>
      </c>
    </row>
    <row r="457" customFormat="false" ht="15" hidden="false" customHeight="true" outlineLevel="0" collapsed="false">
      <c r="A457" s="12" t="str">
        <f aca="false">IF('Grocery Purchases'!B454="","",'Grocery Purchases'!A454)</f>
        <v/>
      </c>
      <c r="B457" s="17" t="str">
        <f aca="false">IF('Grocery Purchases'!B454="","",'Grocery Purchases'!B454)</f>
        <v/>
      </c>
      <c r="C457" s="17" t="str">
        <f aca="false">IF('Grocery Purchases'!B454="","",'Grocery Purchases'!C454)</f>
        <v/>
      </c>
      <c r="D457" s="14" t="str">
        <f aca="false">IF('Grocery Purchases'!B454="","",'Grocery Purchases'!D454)</f>
        <v/>
      </c>
      <c r="E457" s="11" t="str">
        <f aca="false">IF('Grocery Purchases'!B454="","",'Grocery Purchases'!F454)</f>
        <v/>
      </c>
      <c r="F457" s="11" t="str">
        <f aca="false">IF('Grocery Purchases'!B454="","",'Grocery Purchases'!G454)</f>
        <v/>
      </c>
      <c r="G457" s="32" t="str">
        <f aca="false">IF('Grocery Purchases'!B454="","",'Grocery Purchases'!H454)</f>
        <v/>
      </c>
      <c r="H457" s="14" t="str">
        <f aca="false">IF('Grocery Purchases'!B454="","",'Grocery Purchases'!I454)</f>
        <v/>
      </c>
    </row>
    <row r="458" customFormat="false" ht="15" hidden="false" customHeight="true" outlineLevel="0" collapsed="false">
      <c r="A458" s="12" t="str">
        <f aca="false">IF('Grocery Purchases'!B455="","",'Grocery Purchases'!A455)</f>
        <v/>
      </c>
      <c r="B458" s="17" t="str">
        <f aca="false">IF('Grocery Purchases'!B455="","",'Grocery Purchases'!B455)</f>
        <v/>
      </c>
      <c r="C458" s="17" t="str">
        <f aca="false">IF('Grocery Purchases'!B455="","",'Grocery Purchases'!C455)</f>
        <v/>
      </c>
      <c r="D458" s="14" t="str">
        <f aca="false">IF('Grocery Purchases'!B455="","",'Grocery Purchases'!D455)</f>
        <v/>
      </c>
      <c r="E458" s="11" t="str">
        <f aca="false">IF('Grocery Purchases'!B455="","",'Grocery Purchases'!F455)</f>
        <v/>
      </c>
      <c r="F458" s="11" t="str">
        <f aca="false">IF('Grocery Purchases'!B455="","",'Grocery Purchases'!G455)</f>
        <v/>
      </c>
      <c r="G458" s="32" t="str">
        <f aca="false">IF('Grocery Purchases'!B455="","",'Grocery Purchases'!H455)</f>
        <v/>
      </c>
      <c r="H458" s="14" t="str">
        <f aca="false">IF('Grocery Purchases'!B455="","",'Grocery Purchases'!I455)</f>
        <v/>
      </c>
    </row>
    <row r="459" customFormat="false" ht="15" hidden="false" customHeight="true" outlineLevel="0" collapsed="false">
      <c r="A459" s="12" t="str">
        <f aca="false">IF('Grocery Purchases'!B456="","",'Grocery Purchases'!A456)</f>
        <v/>
      </c>
      <c r="B459" s="17" t="str">
        <f aca="false">IF('Grocery Purchases'!B456="","",'Grocery Purchases'!B456)</f>
        <v/>
      </c>
      <c r="C459" s="17" t="str">
        <f aca="false">IF('Grocery Purchases'!B456="","",'Grocery Purchases'!C456)</f>
        <v/>
      </c>
      <c r="D459" s="14" t="str">
        <f aca="false">IF('Grocery Purchases'!B456="","",'Grocery Purchases'!D456)</f>
        <v/>
      </c>
      <c r="E459" s="11" t="str">
        <f aca="false">IF('Grocery Purchases'!B456="","",'Grocery Purchases'!F456)</f>
        <v/>
      </c>
      <c r="F459" s="11" t="str">
        <f aca="false">IF('Grocery Purchases'!B456="","",'Grocery Purchases'!G456)</f>
        <v/>
      </c>
      <c r="G459" s="32" t="str">
        <f aca="false">IF('Grocery Purchases'!B456="","",'Grocery Purchases'!H456)</f>
        <v/>
      </c>
      <c r="H459" s="14" t="str">
        <f aca="false">IF('Grocery Purchases'!B456="","",'Grocery Purchases'!I456)</f>
        <v/>
      </c>
    </row>
    <row r="460" customFormat="false" ht="15" hidden="false" customHeight="true" outlineLevel="0" collapsed="false">
      <c r="A460" s="12" t="str">
        <f aca="false">IF('Grocery Purchases'!B457="","",'Grocery Purchases'!A457)</f>
        <v/>
      </c>
      <c r="B460" s="17" t="str">
        <f aca="false">IF('Grocery Purchases'!B457="","",'Grocery Purchases'!B457)</f>
        <v/>
      </c>
      <c r="C460" s="17" t="str">
        <f aca="false">IF('Grocery Purchases'!B457="","",'Grocery Purchases'!C457)</f>
        <v/>
      </c>
      <c r="D460" s="14" t="str">
        <f aca="false">IF('Grocery Purchases'!B457="","",'Grocery Purchases'!D457)</f>
        <v/>
      </c>
      <c r="E460" s="11" t="str">
        <f aca="false">IF('Grocery Purchases'!B457="","",'Grocery Purchases'!F457)</f>
        <v/>
      </c>
      <c r="F460" s="11" t="str">
        <f aca="false">IF('Grocery Purchases'!B457="","",'Grocery Purchases'!G457)</f>
        <v/>
      </c>
      <c r="G460" s="32" t="str">
        <f aca="false">IF('Grocery Purchases'!B457="","",'Grocery Purchases'!H457)</f>
        <v/>
      </c>
      <c r="H460" s="14" t="str">
        <f aca="false">IF('Grocery Purchases'!B457="","",'Grocery Purchases'!I457)</f>
        <v/>
      </c>
    </row>
    <row r="461" customFormat="false" ht="15" hidden="false" customHeight="true" outlineLevel="0" collapsed="false">
      <c r="A461" s="12" t="str">
        <f aca="false">IF('Grocery Purchases'!B458="","",'Grocery Purchases'!A458)</f>
        <v/>
      </c>
      <c r="B461" s="17" t="str">
        <f aca="false">IF('Grocery Purchases'!B458="","",'Grocery Purchases'!B458)</f>
        <v/>
      </c>
      <c r="C461" s="17" t="str">
        <f aca="false">IF('Grocery Purchases'!B458="","",'Grocery Purchases'!C458)</f>
        <v/>
      </c>
      <c r="D461" s="14" t="str">
        <f aca="false">IF('Grocery Purchases'!B458="","",'Grocery Purchases'!D458)</f>
        <v/>
      </c>
      <c r="E461" s="11" t="str">
        <f aca="false">IF('Grocery Purchases'!B458="","",'Grocery Purchases'!F458)</f>
        <v/>
      </c>
      <c r="F461" s="11" t="str">
        <f aca="false">IF('Grocery Purchases'!B458="","",'Grocery Purchases'!G458)</f>
        <v/>
      </c>
      <c r="G461" s="32" t="str">
        <f aca="false">IF('Grocery Purchases'!B458="","",'Grocery Purchases'!H458)</f>
        <v/>
      </c>
      <c r="H461" s="14" t="str">
        <f aca="false">IF('Grocery Purchases'!B458="","",'Grocery Purchases'!I458)</f>
        <v/>
      </c>
    </row>
    <row r="462" customFormat="false" ht="15" hidden="false" customHeight="true" outlineLevel="0" collapsed="false">
      <c r="A462" s="12" t="str">
        <f aca="false">IF('Grocery Purchases'!B459="","",'Grocery Purchases'!A459)</f>
        <v/>
      </c>
      <c r="B462" s="17" t="str">
        <f aca="false">IF('Grocery Purchases'!B459="","",'Grocery Purchases'!B459)</f>
        <v/>
      </c>
      <c r="C462" s="17" t="str">
        <f aca="false">IF('Grocery Purchases'!B459="","",'Grocery Purchases'!C459)</f>
        <v/>
      </c>
      <c r="D462" s="14" t="str">
        <f aca="false">IF('Grocery Purchases'!B459="","",'Grocery Purchases'!D459)</f>
        <v/>
      </c>
      <c r="E462" s="11" t="str">
        <f aca="false">IF('Grocery Purchases'!B459="","",'Grocery Purchases'!F459)</f>
        <v/>
      </c>
      <c r="F462" s="11" t="str">
        <f aca="false">IF('Grocery Purchases'!B459="","",'Grocery Purchases'!G459)</f>
        <v/>
      </c>
      <c r="G462" s="32" t="str">
        <f aca="false">IF('Grocery Purchases'!B459="","",'Grocery Purchases'!H459)</f>
        <v/>
      </c>
      <c r="H462" s="14" t="str">
        <f aca="false">IF('Grocery Purchases'!B459="","",'Grocery Purchases'!I459)</f>
        <v/>
      </c>
    </row>
    <row r="463" customFormat="false" ht="15" hidden="false" customHeight="true" outlineLevel="0" collapsed="false">
      <c r="A463" s="12" t="str">
        <f aca="false">IF('Grocery Purchases'!B460="","",'Grocery Purchases'!A460)</f>
        <v/>
      </c>
      <c r="B463" s="17" t="str">
        <f aca="false">IF('Grocery Purchases'!B460="","",'Grocery Purchases'!B460)</f>
        <v/>
      </c>
      <c r="C463" s="17" t="str">
        <f aca="false">IF('Grocery Purchases'!B460="","",'Grocery Purchases'!C460)</f>
        <v/>
      </c>
      <c r="D463" s="14" t="str">
        <f aca="false">IF('Grocery Purchases'!B460="","",'Grocery Purchases'!D460)</f>
        <v/>
      </c>
      <c r="E463" s="11" t="str">
        <f aca="false">IF('Grocery Purchases'!B460="","",'Grocery Purchases'!F460)</f>
        <v/>
      </c>
      <c r="F463" s="11" t="str">
        <f aca="false">IF('Grocery Purchases'!B460="","",'Grocery Purchases'!G460)</f>
        <v/>
      </c>
      <c r="G463" s="32" t="str">
        <f aca="false">IF('Grocery Purchases'!B460="","",'Grocery Purchases'!H460)</f>
        <v/>
      </c>
      <c r="H463" s="14" t="str">
        <f aca="false">IF('Grocery Purchases'!B460="","",'Grocery Purchases'!I460)</f>
        <v/>
      </c>
    </row>
    <row r="464" customFormat="false" ht="15" hidden="false" customHeight="true" outlineLevel="0" collapsed="false">
      <c r="A464" s="12" t="str">
        <f aca="false">IF('Grocery Purchases'!B461="","",'Grocery Purchases'!A461)</f>
        <v/>
      </c>
      <c r="B464" s="17" t="str">
        <f aca="false">IF('Grocery Purchases'!B461="","",'Grocery Purchases'!B461)</f>
        <v/>
      </c>
      <c r="C464" s="17" t="str">
        <f aca="false">IF('Grocery Purchases'!B461="","",'Grocery Purchases'!C461)</f>
        <v/>
      </c>
      <c r="D464" s="14" t="str">
        <f aca="false">IF('Grocery Purchases'!B461="","",'Grocery Purchases'!D461)</f>
        <v/>
      </c>
      <c r="E464" s="11" t="str">
        <f aca="false">IF('Grocery Purchases'!B461="","",'Grocery Purchases'!F461)</f>
        <v/>
      </c>
      <c r="F464" s="11" t="str">
        <f aca="false">IF('Grocery Purchases'!B461="","",'Grocery Purchases'!G461)</f>
        <v/>
      </c>
      <c r="G464" s="32" t="str">
        <f aca="false">IF('Grocery Purchases'!B461="","",'Grocery Purchases'!H461)</f>
        <v/>
      </c>
      <c r="H464" s="14" t="str">
        <f aca="false">IF('Grocery Purchases'!B461="","",'Grocery Purchases'!I461)</f>
        <v/>
      </c>
    </row>
    <row r="465" customFormat="false" ht="15" hidden="false" customHeight="true" outlineLevel="0" collapsed="false">
      <c r="A465" s="12" t="str">
        <f aca="false">IF('Grocery Purchases'!B462="","",'Grocery Purchases'!A462)</f>
        <v/>
      </c>
      <c r="B465" s="17" t="str">
        <f aca="false">IF('Grocery Purchases'!B462="","",'Grocery Purchases'!B462)</f>
        <v/>
      </c>
      <c r="C465" s="17" t="str">
        <f aca="false">IF('Grocery Purchases'!B462="","",'Grocery Purchases'!C462)</f>
        <v/>
      </c>
      <c r="D465" s="14" t="str">
        <f aca="false">IF('Grocery Purchases'!B462="","",'Grocery Purchases'!D462)</f>
        <v/>
      </c>
      <c r="E465" s="11" t="str">
        <f aca="false">IF('Grocery Purchases'!B462="","",'Grocery Purchases'!F462)</f>
        <v/>
      </c>
      <c r="F465" s="11" t="str">
        <f aca="false">IF('Grocery Purchases'!B462="","",'Grocery Purchases'!G462)</f>
        <v/>
      </c>
      <c r="G465" s="32" t="str">
        <f aca="false">IF('Grocery Purchases'!B462="","",'Grocery Purchases'!H462)</f>
        <v/>
      </c>
      <c r="H465" s="14" t="str">
        <f aca="false">IF('Grocery Purchases'!B462="","",'Grocery Purchases'!I462)</f>
        <v/>
      </c>
    </row>
    <row r="466" customFormat="false" ht="15" hidden="false" customHeight="true" outlineLevel="0" collapsed="false">
      <c r="A466" s="12" t="str">
        <f aca="false">IF('Grocery Purchases'!B463="","",'Grocery Purchases'!A463)</f>
        <v/>
      </c>
      <c r="B466" s="17" t="str">
        <f aca="false">IF('Grocery Purchases'!B463="","",'Grocery Purchases'!B463)</f>
        <v/>
      </c>
      <c r="C466" s="17" t="str">
        <f aca="false">IF('Grocery Purchases'!B463="","",'Grocery Purchases'!C463)</f>
        <v/>
      </c>
      <c r="D466" s="14" t="str">
        <f aca="false">IF('Grocery Purchases'!B463="","",'Grocery Purchases'!D463)</f>
        <v/>
      </c>
      <c r="E466" s="11" t="str">
        <f aca="false">IF('Grocery Purchases'!B463="","",'Grocery Purchases'!F463)</f>
        <v/>
      </c>
      <c r="F466" s="11" t="str">
        <f aca="false">IF('Grocery Purchases'!B463="","",'Grocery Purchases'!G463)</f>
        <v/>
      </c>
      <c r="G466" s="32" t="str">
        <f aca="false">IF('Grocery Purchases'!B463="","",'Grocery Purchases'!H463)</f>
        <v/>
      </c>
      <c r="H466" s="14" t="str">
        <f aca="false">IF('Grocery Purchases'!B463="","",'Grocery Purchases'!I463)</f>
        <v/>
      </c>
    </row>
    <row r="467" customFormat="false" ht="15" hidden="false" customHeight="true" outlineLevel="0" collapsed="false">
      <c r="A467" s="12" t="str">
        <f aca="false">IF('Grocery Purchases'!B464="","",'Grocery Purchases'!A464)</f>
        <v/>
      </c>
      <c r="B467" s="17" t="str">
        <f aca="false">IF('Grocery Purchases'!B464="","",'Grocery Purchases'!B464)</f>
        <v/>
      </c>
      <c r="C467" s="17" t="str">
        <f aca="false">IF('Grocery Purchases'!B464="","",'Grocery Purchases'!C464)</f>
        <v/>
      </c>
      <c r="D467" s="14" t="str">
        <f aca="false">IF('Grocery Purchases'!B464="","",'Grocery Purchases'!D464)</f>
        <v/>
      </c>
      <c r="E467" s="11" t="str">
        <f aca="false">IF('Grocery Purchases'!B464="","",'Grocery Purchases'!F464)</f>
        <v/>
      </c>
      <c r="F467" s="11" t="str">
        <f aca="false">IF('Grocery Purchases'!B464="","",'Grocery Purchases'!G464)</f>
        <v/>
      </c>
      <c r="G467" s="32" t="str">
        <f aca="false">IF('Grocery Purchases'!B464="","",'Grocery Purchases'!H464)</f>
        <v/>
      </c>
      <c r="H467" s="14" t="str">
        <f aca="false">IF('Grocery Purchases'!B464="","",'Grocery Purchases'!I464)</f>
        <v/>
      </c>
    </row>
    <row r="468" customFormat="false" ht="15" hidden="false" customHeight="true" outlineLevel="0" collapsed="false">
      <c r="A468" s="12" t="str">
        <f aca="false">IF('Grocery Purchases'!B465="","",'Grocery Purchases'!A465)</f>
        <v/>
      </c>
      <c r="B468" s="17" t="str">
        <f aca="false">IF('Grocery Purchases'!B465="","",'Grocery Purchases'!B465)</f>
        <v/>
      </c>
      <c r="C468" s="17" t="str">
        <f aca="false">IF('Grocery Purchases'!B465="","",'Grocery Purchases'!C465)</f>
        <v/>
      </c>
      <c r="D468" s="14" t="str">
        <f aca="false">IF('Grocery Purchases'!B465="","",'Grocery Purchases'!D465)</f>
        <v/>
      </c>
      <c r="E468" s="11" t="str">
        <f aca="false">IF('Grocery Purchases'!B465="","",'Grocery Purchases'!F465)</f>
        <v/>
      </c>
      <c r="F468" s="11" t="str">
        <f aca="false">IF('Grocery Purchases'!B465="","",'Grocery Purchases'!G465)</f>
        <v/>
      </c>
      <c r="G468" s="32" t="str">
        <f aca="false">IF('Grocery Purchases'!B465="","",'Grocery Purchases'!H465)</f>
        <v/>
      </c>
      <c r="H468" s="14" t="str">
        <f aca="false">IF('Grocery Purchases'!B465="","",'Grocery Purchases'!I465)</f>
        <v/>
      </c>
    </row>
    <row r="469" customFormat="false" ht="15" hidden="false" customHeight="true" outlineLevel="0" collapsed="false">
      <c r="A469" s="12" t="str">
        <f aca="false">IF('Grocery Purchases'!B466="","",'Grocery Purchases'!A466)</f>
        <v/>
      </c>
      <c r="B469" s="17" t="str">
        <f aca="false">IF('Grocery Purchases'!B466="","",'Grocery Purchases'!B466)</f>
        <v/>
      </c>
      <c r="C469" s="17" t="str">
        <f aca="false">IF('Grocery Purchases'!B466="","",'Grocery Purchases'!C466)</f>
        <v/>
      </c>
      <c r="D469" s="14" t="str">
        <f aca="false">IF('Grocery Purchases'!B466="","",'Grocery Purchases'!D466)</f>
        <v/>
      </c>
      <c r="E469" s="11" t="str">
        <f aca="false">IF('Grocery Purchases'!B466="","",'Grocery Purchases'!F466)</f>
        <v/>
      </c>
      <c r="F469" s="11" t="str">
        <f aca="false">IF('Grocery Purchases'!B466="","",'Grocery Purchases'!G466)</f>
        <v/>
      </c>
      <c r="G469" s="32" t="str">
        <f aca="false">IF('Grocery Purchases'!B466="","",'Grocery Purchases'!H466)</f>
        <v/>
      </c>
      <c r="H469" s="14" t="str">
        <f aca="false">IF('Grocery Purchases'!B466="","",'Grocery Purchases'!I466)</f>
        <v/>
      </c>
    </row>
    <row r="470" customFormat="false" ht="15" hidden="false" customHeight="true" outlineLevel="0" collapsed="false">
      <c r="A470" s="12" t="str">
        <f aca="false">IF('Grocery Purchases'!B467="","",'Grocery Purchases'!A467)</f>
        <v/>
      </c>
      <c r="B470" s="17" t="str">
        <f aca="false">IF('Grocery Purchases'!B467="","",'Grocery Purchases'!B467)</f>
        <v/>
      </c>
      <c r="C470" s="17" t="str">
        <f aca="false">IF('Grocery Purchases'!B467="","",'Grocery Purchases'!C467)</f>
        <v/>
      </c>
      <c r="D470" s="14" t="str">
        <f aca="false">IF('Grocery Purchases'!B467="","",'Grocery Purchases'!D467)</f>
        <v/>
      </c>
      <c r="E470" s="11" t="str">
        <f aca="false">IF('Grocery Purchases'!B467="","",'Grocery Purchases'!F467)</f>
        <v/>
      </c>
      <c r="F470" s="11" t="str">
        <f aca="false">IF('Grocery Purchases'!B467="","",'Grocery Purchases'!G467)</f>
        <v/>
      </c>
      <c r="G470" s="32" t="str">
        <f aca="false">IF('Grocery Purchases'!B467="","",'Grocery Purchases'!H467)</f>
        <v/>
      </c>
      <c r="H470" s="14" t="str">
        <f aca="false">IF('Grocery Purchases'!B467="","",'Grocery Purchases'!I467)</f>
        <v/>
      </c>
    </row>
    <row r="471" customFormat="false" ht="15" hidden="false" customHeight="true" outlineLevel="0" collapsed="false">
      <c r="A471" s="12" t="str">
        <f aca="false">IF('Grocery Purchases'!B468="","",'Grocery Purchases'!A468)</f>
        <v/>
      </c>
      <c r="B471" s="17" t="str">
        <f aca="false">IF('Grocery Purchases'!B468="","",'Grocery Purchases'!B468)</f>
        <v/>
      </c>
      <c r="C471" s="17" t="str">
        <f aca="false">IF('Grocery Purchases'!B468="","",'Grocery Purchases'!C468)</f>
        <v/>
      </c>
      <c r="D471" s="14" t="str">
        <f aca="false">IF('Grocery Purchases'!B468="","",'Grocery Purchases'!D468)</f>
        <v/>
      </c>
      <c r="E471" s="11" t="str">
        <f aca="false">IF('Grocery Purchases'!B468="","",'Grocery Purchases'!F468)</f>
        <v/>
      </c>
      <c r="F471" s="11" t="str">
        <f aca="false">IF('Grocery Purchases'!B468="","",'Grocery Purchases'!G468)</f>
        <v/>
      </c>
      <c r="G471" s="32" t="str">
        <f aca="false">IF('Grocery Purchases'!B468="","",'Grocery Purchases'!H468)</f>
        <v/>
      </c>
      <c r="H471" s="14" t="str">
        <f aca="false">IF('Grocery Purchases'!B468="","",'Grocery Purchases'!I468)</f>
        <v/>
      </c>
    </row>
    <row r="472" customFormat="false" ht="15" hidden="false" customHeight="true" outlineLevel="0" collapsed="false">
      <c r="A472" s="12" t="str">
        <f aca="false">IF('Grocery Purchases'!B469="","",'Grocery Purchases'!A469)</f>
        <v/>
      </c>
      <c r="B472" s="17" t="str">
        <f aca="false">IF('Grocery Purchases'!B469="","",'Grocery Purchases'!B469)</f>
        <v/>
      </c>
      <c r="C472" s="17" t="str">
        <f aca="false">IF('Grocery Purchases'!B469="","",'Grocery Purchases'!C469)</f>
        <v/>
      </c>
      <c r="D472" s="14" t="str">
        <f aca="false">IF('Grocery Purchases'!B469="","",'Grocery Purchases'!D469)</f>
        <v/>
      </c>
      <c r="E472" s="11" t="str">
        <f aca="false">IF('Grocery Purchases'!B469="","",'Grocery Purchases'!F469)</f>
        <v/>
      </c>
      <c r="F472" s="11" t="str">
        <f aca="false">IF('Grocery Purchases'!B469="","",'Grocery Purchases'!G469)</f>
        <v/>
      </c>
      <c r="G472" s="32" t="str">
        <f aca="false">IF('Grocery Purchases'!B469="","",'Grocery Purchases'!H469)</f>
        <v/>
      </c>
      <c r="H472" s="14" t="str">
        <f aca="false">IF('Grocery Purchases'!B469="","",'Grocery Purchases'!I469)</f>
        <v/>
      </c>
    </row>
    <row r="473" customFormat="false" ht="15" hidden="false" customHeight="true" outlineLevel="0" collapsed="false">
      <c r="A473" s="12" t="str">
        <f aca="false">IF('Grocery Purchases'!B470="","",'Grocery Purchases'!A470)</f>
        <v/>
      </c>
      <c r="B473" s="17" t="str">
        <f aca="false">IF('Grocery Purchases'!B470="","",'Grocery Purchases'!B470)</f>
        <v/>
      </c>
      <c r="C473" s="17" t="str">
        <f aca="false">IF('Grocery Purchases'!B470="","",'Grocery Purchases'!C470)</f>
        <v/>
      </c>
      <c r="D473" s="14" t="str">
        <f aca="false">IF('Grocery Purchases'!B470="","",'Grocery Purchases'!D470)</f>
        <v/>
      </c>
      <c r="E473" s="11" t="str">
        <f aca="false">IF('Grocery Purchases'!B470="","",'Grocery Purchases'!F470)</f>
        <v/>
      </c>
      <c r="F473" s="11" t="str">
        <f aca="false">IF('Grocery Purchases'!B470="","",'Grocery Purchases'!G470)</f>
        <v/>
      </c>
      <c r="G473" s="32" t="str">
        <f aca="false">IF('Grocery Purchases'!B470="","",'Grocery Purchases'!H470)</f>
        <v/>
      </c>
      <c r="H473" s="14" t="str">
        <f aca="false">IF('Grocery Purchases'!B470="","",'Grocery Purchases'!I470)</f>
        <v/>
      </c>
    </row>
    <row r="474" customFormat="false" ht="15" hidden="false" customHeight="true" outlineLevel="0" collapsed="false">
      <c r="A474" s="12" t="str">
        <f aca="false">IF('Grocery Purchases'!B471="","",'Grocery Purchases'!A471)</f>
        <v/>
      </c>
      <c r="B474" s="17" t="str">
        <f aca="false">IF('Grocery Purchases'!B471="","",'Grocery Purchases'!B471)</f>
        <v/>
      </c>
      <c r="C474" s="17" t="str">
        <f aca="false">IF('Grocery Purchases'!B471="","",'Grocery Purchases'!C471)</f>
        <v/>
      </c>
      <c r="D474" s="14" t="str">
        <f aca="false">IF('Grocery Purchases'!B471="","",'Grocery Purchases'!D471)</f>
        <v/>
      </c>
      <c r="E474" s="11" t="str">
        <f aca="false">IF('Grocery Purchases'!B471="","",'Grocery Purchases'!F471)</f>
        <v/>
      </c>
      <c r="F474" s="11" t="str">
        <f aca="false">IF('Grocery Purchases'!B471="","",'Grocery Purchases'!G471)</f>
        <v/>
      </c>
      <c r="G474" s="32" t="str">
        <f aca="false">IF('Grocery Purchases'!B471="","",'Grocery Purchases'!H471)</f>
        <v/>
      </c>
      <c r="H474" s="14" t="str">
        <f aca="false">IF('Grocery Purchases'!B471="","",'Grocery Purchases'!I471)</f>
        <v/>
      </c>
    </row>
    <row r="475" customFormat="false" ht="15" hidden="false" customHeight="true" outlineLevel="0" collapsed="false">
      <c r="A475" s="12" t="str">
        <f aca="false">IF('Grocery Purchases'!B472="","",'Grocery Purchases'!A472)</f>
        <v/>
      </c>
      <c r="B475" s="17" t="str">
        <f aca="false">IF('Grocery Purchases'!B472="","",'Grocery Purchases'!B472)</f>
        <v/>
      </c>
      <c r="C475" s="17" t="str">
        <f aca="false">IF('Grocery Purchases'!B472="","",'Grocery Purchases'!C472)</f>
        <v/>
      </c>
      <c r="D475" s="14" t="str">
        <f aca="false">IF('Grocery Purchases'!B472="","",'Grocery Purchases'!D472)</f>
        <v/>
      </c>
      <c r="E475" s="11" t="str">
        <f aca="false">IF('Grocery Purchases'!B472="","",'Grocery Purchases'!F472)</f>
        <v/>
      </c>
      <c r="F475" s="11" t="str">
        <f aca="false">IF('Grocery Purchases'!B472="","",'Grocery Purchases'!G472)</f>
        <v/>
      </c>
      <c r="G475" s="32" t="str">
        <f aca="false">IF('Grocery Purchases'!B472="","",'Grocery Purchases'!H472)</f>
        <v/>
      </c>
      <c r="H475" s="14" t="str">
        <f aca="false">IF('Grocery Purchases'!B472="","",'Grocery Purchases'!I472)</f>
        <v/>
      </c>
    </row>
    <row r="476" customFormat="false" ht="15" hidden="false" customHeight="true" outlineLevel="0" collapsed="false">
      <c r="A476" s="12" t="str">
        <f aca="false">IF('Grocery Purchases'!B473="","",'Grocery Purchases'!A473)</f>
        <v/>
      </c>
      <c r="B476" s="17" t="str">
        <f aca="false">IF('Grocery Purchases'!B473="","",'Grocery Purchases'!B473)</f>
        <v/>
      </c>
      <c r="C476" s="17" t="str">
        <f aca="false">IF('Grocery Purchases'!B473="","",'Grocery Purchases'!C473)</f>
        <v/>
      </c>
      <c r="D476" s="14" t="str">
        <f aca="false">IF('Grocery Purchases'!B473="","",'Grocery Purchases'!D473)</f>
        <v/>
      </c>
      <c r="E476" s="11" t="str">
        <f aca="false">IF('Grocery Purchases'!B473="","",'Grocery Purchases'!F473)</f>
        <v/>
      </c>
      <c r="F476" s="11" t="str">
        <f aca="false">IF('Grocery Purchases'!B473="","",'Grocery Purchases'!G473)</f>
        <v/>
      </c>
      <c r="G476" s="32" t="str">
        <f aca="false">IF('Grocery Purchases'!B473="","",'Grocery Purchases'!H473)</f>
        <v/>
      </c>
      <c r="H476" s="14" t="str">
        <f aca="false">IF('Grocery Purchases'!B473="","",'Grocery Purchases'!I473)</f>
        <v/>
      </c>
    </row>
    <row r="477" customFormat="false" ht="15" hidden="false" customHeight="true" outlineLevel="0" collapsed="false">
      <c r="A477" s="12" t="str">
        <f aca="false">IF('Grocery Purchases'!B474="","",'Grocery Purchases'!A474)</f>
        <v/>
      </c>
      <c r="B477" s="17" t="str">
        <f aca="false">IF('Grocery Purchases'!B474="","",'Grocery Purchases'!B474)</f>
        <v/>
      </c>
      <c r="C477" s="17" t="str">
        <f aca="false">IF('Grocery Purchases'!B474="","",'Grocery Purchases'!C474)</f>
        <v/>
      </c>
      <c r="D477" s="14" t="str">
        <f aca="false">IF('Grocery Purchases'!B474="","",'Grocery Purchases'!D474)</f>
        <v/>
      </c>
      <c r="E477" s="11" t="str">
        <f aca="false">IF('Grocery Purchases'!B474="","",'Grocery Purchases'!F474)</f>
        <v/>
      </c>
      <c r="F477" s="11" t="str">
        <f aca="false">IF('Grocery Purchases'!B474="","",'Grocery Purchases'!G474)</f>
        <v/>
      </c>
      <c r="G477" s="32" t="str">
        <f aca="false">IF('Grocery Purchases'!B474="","",'Grocery Purchases'!H474)</f>
        <v/>
      </c>
      <c r="H477" s="14" t="str">
        <f aca="false">IF('Grocery Purchases'!B474="","",'Grocery Purchases'!I474)</f>
        <v/>
      </c>
    </row>
    <row r="478" customFormat="false" ht="15" hidden="false" customHeight="true" outlineLevel="0" collapsed="false">
      <c r="A478" s="12" t="str">
        <f aca="false">IF('Grocery Purchases'!B475="","",'Grocery Purchases'!A475)</f>
        <v/>
      </c>
      <c r="B478" s="17" t="str">
        <f aca="false">IF('Grocery Purchases'!B475="","",'Grocery Purchases'!B475)</f>
        <v/>
      </c>
      <c r="C478" s="17" t="str">
        <f aca="false">IF('Grocery Purchases'!B475="","",'Grocery Purchases'!C475)</f>
        <v/>
      </c>
      <c r="D478" s="14" t="str">
        <f aca="false">IF('Grocery Purchases'!B475="","",'Grocery Purchases'!D475)</f>
        <v/>
      </c>
      <c r="E478" s="11" t="str">
        <f aca="false">IF('Grocery Purchases'!B475="","",'Grocery Purchases'!F475)</f>
        <v/>
      </c>
      <c r="F478" s="11" t="str">
        <f aca="false">IF('Grocery Purchases'!B475="","",'Grocery Purchases'!G475)</f>
        <v/>
      </c>
      <c r="G478" s="32" t="str">
        <f aca="false">IF('Grocery Purchases'!B475="","",'Grocery Purchases'!H475)</f>
        <v/>
      </c>
      <c r="H478" s="14" t="str">
        <f aca="false">IF('Grocery Purchases'!B475="","",'Grocery Purchases'!I475)</f>
        <v/>
      </c>
    </row>
    <row r="479" customFormat="false" ht="15" hidden="false" customHeight="true" outlineLevel="0" collapsed="false">
      <c r="A479" s="12" t="str">
        <f aca="false">IF('Grocery Purchases'!B476="","",'Grocery Purchases'!A476)</f>
        <v/>
      </c>
      <c r="B479" s="17" t="str">
        <f aca="false">IF('Grocery Purchases'!B476="","",'Grocery Purchases'!B476)</f>
        <v/>
      </c>
      <c r="C479" s="17" t="str">
        <f aca="false">IF('Grocery Purchases'!B476="","",'Grocery Purchases'!C476)</f>
        <v/>
      </c>
      <c r="D479" s="14" t="str">
        <f aca="false">IF('Grocery Purchases'!B476="","",'Grocery Purchases'!D476)</f>
        <v/>
      </c>
      <c r="E479" s="11" t="str">
        <f aca="false">IF('Grocery Purchases'!B476="","",'Grocery Purchases'!F476)</f>
        <v/>
      </c>
      <c r="F479" s="11" t="str">
        <f aca="false">IF('Grocery Purchases'!B476="","",'Grocery Purchases'!G476)</f>
        <v/>
      </c>
      <c r="G479" s="32" t="str">
        <f aca="false">IF('Grocery Purchases'!B476="","",'Grocery Purchases'!H476)</f>
        <v/>
      </c>
      <c r="H479" s="14" t="str">
        <f aca="false">IF('Grocery Purchases'!B476="","",'Grocery Purchases'!I476)</f>
        <v/>
      </c>
    </row>
    <row r="480" customFormat="false" ht="15" hidden="false" customHeight="true" outlineLevel="0" collapsed="false">
      <c r="A480" s="12" t="str">
        <f aca="false">IF('Grocery Purchases'!B477="","",'Grocery Purchases'!A477)</f>
        <v/>
      </c>
      <c r="B480" s="17" t="str">
        <f aca="false">IF('Grocery Purchases'!B477="","",'Grocery Purchases'!B477)</f>
        <v/>
      </c>
      <c r="C480" s="17" t="str">
        <f aca="false">IF('Grocery Purchases'!B477="","",'Grocery Purchases'!C477)</f>
        <v/>
      </c>
      <c r="D480" s="14" t="str">
        <f aca="false">IF('Grocery Purchases'!B477="","",'Grocery Purchases'!D477)</f>
        <v/>
      </c>
      <c r="E480" s="11" t="str">
        <f aca="false">IF('Grocery Purchases'!B477="","",'Grocery Purchases'!F477)</f>
        <v/>
      </c>
      <c r="F480" s="11" t="str">
        <f aca="false">IF('Grocery Purchases'!B477="","",'Grocery Purchases'!G477)</f>
        <v/>
      </c>
      <c r="G480" s="32" t="str">
        <f aca="false">IF('Grocery Purchases'!B477="","",'Grocery Purchases'!H477)</f>
        <v/>
      </c>
      <c r="H480" s="14" t="str">
        <f aca="false">IF('Grocery Purchases'!B477="","",'Grocery Purchases'!I477)</f>
        <v/>
      </c>
    </row>
    <row r="481" customFormat="false" ht="15" hidden="false" customHeight="true" outlineLevel="0" collapsed="false">
      <c r="A481" s="12" t="str">
        <f aca="false">IF('Grocery Purchases'!B478="","",'Grocery Purchases'!A478)</f>
        <v/>
      </c>
      <c r="B481" s="17" t="str">
        <f aca="false">IF('Grocery Purchases'!B478="","",'Grocery Purchases'!B478)</f>
        <v/>
      </c>
      <c r="C481" s="17" t="str">
        <f aca="false">IF('Grocery Purchases'!B478="","",'Grocery Purchases'!C478)</f>
        <v/>
      </c>
      <c r="D481" s="14" t="str">
        <f aca="false">IF('Grocery Purchases'!B478="","",'Grocery Purchases'!D478)</f>
        <v/>
      </c>
      <c r="E481" s="11" t="str">
        <f aca="false">IF('Grocery Purchases'!B478="","",'Grocery Purchases'!F478)</f>
        <v/>
      </c>
      <c r="F481" s="11" t="str">
        <f aca="false">IF('Grocery Purchases'!B478="","",'Grocery Purchases'!G478)</f>
        <v/>
      </c>
      <c r="G481" s="32" t="str">
        <f aca="false">IF('Grocery Purchases'!B478="","",'Grocery Purchases'!H478)</f>
        <v/>
      </c>
      <c r="H481" s="14" t="str">
        <f aca="false">IF('Grocery Purchases'!B478="","",'Grocery Purchases'!I478)</f>
        <v/>
      </c>
    </row>
    <row r="482" customFormat="false" ht="15" hidden="false" customHeight="true" outlineLevel="0" collapsed="false">
      <c r="A482" s="12" t="str">
        <f aca="false">IF('Grocery Purchases'!B479="","",'Grocery Purchases'!A479)</f>
        <v/>
      </c>
      <c r="B482" s="17" t="str">
        <f aca="false">IF('Grocery Purchases'!B479="","",'Grocery Purchases'!B479)</f>
        <v/>
      </c>
      <c r="C482" s="17" t="str">
        <f aca="false">IF('Grocery Purchases'!B479="","",'Grocery Purchases'!C479)</f>
        <v/>
      </c>
      <c r="D482" s="14" t="str">
        <f aca="false">IF('Grocery Purchases'!B479="","",'Grocery Purchases'!D479)</f>
        <v/>
      </c>
      <c r="E482" s="11" t="str">
        <f aca="false">IF('Grocery Purchases'!B479="","",'Grocery Purchases'!F479)</f>
        <v/>
      </c>
      <c r="F482" s="11" t="str">
        <f aca="false">IF('Grocery Purchases'!B479="","",'Grocery Purchases'!G479)</f>
        <v/>
      </c>
      <c r="G482" s="32" t="str">
        <f aca="false">IF('Grocery Purchases'!B479="","",'Grocery Purchases'!H479)</f>
        <v/>
      </c>
      <c r="H482" s="14" t="str">
        <f aca="false">IF('Grocery Purchases'!B479="","",'Grocery Purchases'!I479)</f>
        <v/>
      </c>
    </row>
    <row r="483" customFormat="false" ht="15" hidden="false" customHeight="true" outlineLevel="0" collapsed="false">
      <c r="A483" s="12" t="str">
        <f aca="false">IF('Grocery Purchases'!B480="","",'Grocery Purchases'!A480)</f>
        <v/>
      </c>
      <c r="B483" s="17" t="str">
        <f aca="false">IF('Grocery Purchases'!B480="","",'Grocery Purchases'!B480)</f>
        <v/>
      </c>
      <c r="C483" s="17" t="str">
        <f aca="false">IF('Grocery Purchases'!B480="","",'Grocery Purchases'!C480)</f>
        <v/>
      </c>
      <c r="D483" s="14" t="str">
        <f aca="false">IF('Grocery Purchases'!B480="","",'Grocery Purchases'!D480)</f>
        <v/>
      </c>
      <c r="E483" s="11" t="str">
        <f aca="false">IF('Grocery Purchases'!B480="","",'Grocery Purchases'!F480)</f>
        <v/>
      </c>
      <c r="F483" s="11" t="str">
        <f aca="false">IF('Grocery Purchases'!B480="","",'Grocery Purchases'!G480)</f>
        <v/>
      </c>
      <c r="G483" s="32" t="str">
        <f aca="false">IF('Grocery Purchases'!B480="","",'Grocery Purchases'!H480)</f>
        <v/>
      </c>
      <c r="H483" s="14" t="str">
        <f aca="false">IF('Grocery Purchases'!B480="","",'Grocery Purchases'!I480)</f>
        <v/>
      </c>
    </row>
    <row r="484" customFormat="false" ht="15" hidden="false" customHeight="true" outlineLevel="0" collapsed="false">
      <c r="A484" s="12" t="str">
        <f aca="false">IF('Grocery Purchases'!B481="","",'Grocery Purchases'!A481)</f>
        <v/>
      </c>
      <c r="B484" s="17" t="str">
        <f aca="false">IF('Grocery Purchases'!B481="","",'Grocery Purchases'!B481)</f>
        <v/>
      </c>
      <c r="C484" s="17" t="str">
        <f aca="false">IF('Grocery Purchases'!B481="","",'Grocery Purchases'!C481)</f>
        <v/>
      </c>
      <c r="D484" s="14" t="str">
        <f aca="false">IF('Grocery Purchases'!B481="","",'Grocery Purchases'!D481)</f>
        <v/>
      </c>
      <c r="E484" s="11" t="str">
        <f aca="false">IF('Grocery Purchases'!B481="","",'Grocery Purchases'!F481)</f>
        <v/>
      </c>
      <c r="F484" s="11" t="str">
        <f aca="false">IF('Grocery Purchases'!B481="","",'Grocery Purchases'!G481)</f>
        <v/>
      </c>
      <c r="G484" s="32" t="str">
        <f aca="false">IF('Grocery Purchases'!B481="","",'Grocery Purchases'!H481)</f>
        <v/>
      </c>
      <c r="H484" s="14" t="str">
        <f aca="false">IF('Grocery Purchases'!B481="","",'Grocery Purchases'!I481)</f>
        <v/>
      </c>
    </row>
    <row r="485" customFormat="false" ht="15" hidden="false" customHeight="true" outlineLevel="0" collapsed="false">
      <c r="A485" s="12" t="str">
        <f aca="false">IF('Grocery Purchases'!B482="","",'Grocery Purchases'!A482)</f>
        <v/>
      </c>
      <c r="B485" s="17" t="str">
        <f aca="false">IF('Grocery Purchases'!B482="","",'Grocery Purchases'!B482)</f>
        <v/>
      </c>
      <c r="C485" s="17" t="str">
        <f aca="false">IF('Grocery Purchases'!B482="","",'Grocery Purchases'!C482)</f>
        <v/>
      </c>
      <c r="D485" s="14" t="str">
        <f aca="false">IF('Grocery Purchases'!B482="","",'Grocery Purchases'!D482)</f>
        <v/>
      </c>
      <c r="E485" s="11" t="str">
        <f aca="false">IF('Grocery Purchases'!B482="","",'Grocery Purchases'!F482)</f>
        <v/>
      </c>
      <c r="F485" s="11" t="str">
        <f aca="false">IF('Grocery Purchases'!B482="","",'Grocery Purchases'!G482)</f>
        <v/>
      </c>
      <c r="G485" s="32" t="str">
        <f aca="false">IF('Grocery Purchases'!B482="","",'Grocery Purchases'!H482)</f>
        <v/>
      </c>
      <c r="H485" s="14" t="str">
        <f aca="false">IF('Grocery Purchases'!B482="","",'Grocery Purchases'!I482)</f>
        <v/>
      </c>
    </row>
    <row r="486" customFormat="false" ht="15" hidden="false" customHeight="true" outlineLevel="0" collapsed="false">
      <c r="A486" s="12" t="str">
        <f aca="false">IF('Grocery Purchases'!B483="","",'Grocery Purchases'!A483)</f>
        <v/>
      </c>
      <c r="B486" s="17" t="str">
        <f aca="false">IF('Grocery Purchases'!B483="","",'Grocery Purchases'!B483)</f>
        <v/>
      </c>
      <c r="C486" s="17" t="str">
        <f aca="false">IF('Grocery Purchases'!B483="","",'Grocery Purchases'!C483)</f>
        <v/>
      </c>
      <c r="D486" s="14" t="str">
        <f aca="false">IF('Grocery Purchases'!B483="","",'Grocery Purchases'!D483)</f>
        <v/>
      </c>
      <c r="E486" s="11" t="str">
        <f aca="false">IF('Grocery Purchases'!B483="","",'Grocery Purchases'!F483)</f>
        <v/>
      </c>
      <c r="F486" s="11" t="str">
        <f aca="false">IF('Grocery Purchases'!B483="","",'Grocery Purchases'!G483)</f>
        <v/>
      </c>
      <c r="G486" s="32" t="str">
        <f aca="false">IF('Grocery Purchases'!B483="","",'Grocery Purchases'!H483)</f>
        <v/>
      </c>
      <c r="H486" s="14" t="str">
        <f aca="false">IF('Grocery Purchases'!B483="","",'Grocery Purchases'!I483)</f>
        <v/>
      </c>
    </row>
    <row r="487" customFormat="false" ht="15" hidden="false" customHeight="true" outlineLevel="0" collapsed="false">
      <c r="A487" s="12" t="str">
        <f aca="false">IF('Grocery Purchases'!B484="","",'Grocery Purchases'!A484)</f>
        <v/>
      </c>
      <c r="B487" s="17" t="str">
        <f aca="false">IF('Grocery Purchases'!B484="","",'Grocery Purchases'!B484)</f>
        <v/>
      </c>
      <c r="C487" s="17" t="str">
        <f aca="false">IF('Grocery Purchases'!B484="","",'Grocery Purchases'!C484)</f>
        <v/>
      </c>
      <c r="D487" s="14" t="str">
        <f aca="false">IF('Grocery Purchases'!B484="","",'Grocery Purchases'!D484)</f>
        <v/>
      </c>
      <c r="E487" s="11" t="str">
        <f aca="false">IF('Grocery Purchases'!B484="","",'Grocery Purchases'!F484)</f>
        <v/>
      </c>
      <c r="F487" s="11" t="str">
        <f aca="false">IF('Grocery Purchases'!B484="","",'Grocery Purchases'!G484)</f>
        <v/>
      </c>
      <c r="G487" s="32" t="str">
        <f aca="false">IF('Grocery Purchases'!B484="","",'Grocery Purchases'!H484)</f>
        <v/>
      </c>
      <c r="H487" s="14" t="str">
        <f aca="false">IF('Grocery Purchases'!B484="","",'Grocery Purchases'!I484)</f>
        <v/>
      </c>
    </row>
    <row r="488" customFormat="false" ht="15" hidden="false" customHeight="true" outlineLevel="0" collapsed="false">
      <c r="A488" s="12" t="str">
        <f aca="false">IF('Grocery Purchases'!B485="","",'Grocery Purchases'!A485)</f>
        <v/>
      </c>
      <c r="B488" s="17" t="str">
        <f aca="false">IF('Grocery Purchases'!B485="","",'Grocery Purchases'!B485)</f>
        <v/>
      </c>
      <c r="C488" s="17" t="str">
        <f aca="false">IF('Grocery Purchases'!B485="","",'Grocery Purchases'!C485)</f>
        <v/>
      </c>
      <c r="D488" s="14" t="str">
        <f aca="false">IF('Grocery Purchases'!B485="","",'Grocery Purchases'!D485)</f>
        <v/>
      </c>
      <c r="E488" s="11" t="str">
        <f aca="false">IF('Grocery Purchases'!B485="","",'Grocery Purchases'!F485)</f>
        <v/>
      </c>
      <c r="F488" s="11" t="str">
        <f aca="false">IF('Grocery Purchases'!B485="","",'Grocery Purchases'!G485)</f>
        <v/>
      </c>
      <c r="G488" s="32" t="str">
        <f aca="false">IF('Grocery Purchases'!B485="","",'Grocery Purchases'!H485)</f>
        <v/>
      </c>
      <c r="H488" s="14" t="str">
        <f aca="false">IF('Grocery Purchases'!B485="","",'Grocery Purchases'!I485)</f>
        <v/>
      </c>
    </row>
    <row r="489" customFormat="false" ht="15" hidden="false" customHeight="true" outlineLevel="0" collapsed="false">
      <c r="A489" s="12" t="str">
        <f aca="false">IF('Grocery Purchases'!B486="","",'Grocery Purchases'!A486)</f>
        <v/>
      </c>
      <c r="B489" s="17" t="str">
        <f aca="false">IF('Grocery Purchases'!B486="","",'Grocery Purchases'!B486)</f>
        <v/>
      </c>
      <c r="C489" s="17" t="str">
        <f aca="false">IF('Grocery Purchases'!B486="","",'Grocery Purchases'!C486)</f>
        <v/>
      </c>
      <c r="D489" s="14" t="str">
        <f aca="false">IF('Grocery Purchases'!B486="","",'Grocery Purchases'!D486)</f>
        <v/>
      </c>
      <c r="E489" s="11" t="str">
        <f aca="false">IF('Grocery Purchases'!B486="","",'Grocery Purchases'!F486)</f>
        <v/>
      </c>
      <c r="F489" s="11" t="str">
        <f aca="false">IF('Grocery Purchases'!B486="","",'Grocery Purchases'!G486)</f>
        <v/>
      </c>
      <c r="G489" s="32" t="str">
        <f aca="false">IF('Grocery Purchases'!B486="","",'Grocery Purchases'!H486)</f>
        <v/>
      </c>
      <c r="H489" s="14" t="str">
        <f aca="false">IF('Grocery Purchases'!B486="","",'Grocery Purchases'!I486)</f>
        <v/>
      </c>
    </row>
    <row r="490" customFormat="false" ht="15" hidden="false" customHeight="true" outlineLevel="0" collapsed="false">
      <c r="A490" s="12" t="str">
        <f aca="false">IF('Grocery Purchases'!B487="","",'Grocery Purchases'!A487)</f>
        <v/>
      </c>
      <c r="B490" s="17" t="str">
        <f aca="false">IF('Grocery Purchases'!B487="","",'Grocery Purchases'!B487)</f>
        <v/>
      </c>
      <c r="C490" s="17" t="str">
        <f aca="false">IF('Grocery Purchases'!B487="","",'Grocery Purchases'!C487)</f>
        <v/>
      </c>
      <c r="D490" s="14" t="str">
        <f aca="false">IF('Grocery Purchases'!B487="","",'Grocery Purchases'!D487)</f>
        <v/>
      </c>
      <c r="E490" s="11" t="str">
        <f aca="false">IF('Grocery Purchases'!B487="","",'Grocery Purchases'!F487)</f>
        <v/>
      </c>
      <c r="F490" s="11" t="str">
        <f aca="false">IF('Grocery Purchases'!B487="","",'Grocery Purchases'!G487)</f>
        <v/>
      </c>
      <c r="G490" s="32" t="str">
        <f aca="false">IF('Grocery Purchases'!B487="","",'Grocery Purchases'!H487)</f>
        <v/>
      </c>
      <c r="H490" s="14" t="str">
        <f aca="false">IF('Grocery Purchases'!B487="","",'Grocery Purchases'!I487)</f>
        <v/>
      </c>
    </row>
    <row r="491" customFormat="false" ht="15" hidden="false" customHeight="true" outlineLevel="0" collapsed="false">
      <c r="A491" s="12" t="str">
        <f aca="false">IF('Grocery Purchases'!B488="","",'Grocery Purchases'!A488)</f>
        <v/>
      </c>
      <c r="B491" s="17" t="str">
        <f aca="false">IF('Grocery Purchases'!B488="","",'Grocery Purchases'!B488)</f>
        <v/>
      </c>
      <c r="C491" s="17" t="str">
        <f aca="false">IF('Grocery Purchases'!B488="","",'Grocery Purchases'!C488)</f>
        <v/>
      </c>
      <c r="D491" s="14" t="str">
        <f aca="false">IF('Grocery Purchases'!B488="","",'Grocery Purchases'!D488)</f>
        <v/>
      </c>
      <c r="E491" s="11" t="str">
        <f aca="false">IF('Grocery Purchases'!B488="","",'Grocery Purchases'!F488)</f>
        <v/>
      </c>
      <c r="F491" s="11" t="str">
        <f aca="false">IF('Grocery Purchases'!B488="","",'Grocery Purchases'!G488)</f>
        <v/>
      </c>
      <c r="G491" s="32" t="str">
        <f aca="false">IF('Grocery Purchases'!B488="","",'Grocery Purchases'!H488)</f>
        <v/>
      </c>
      <c r="H491" s="14" t="str">
        <f aca="false">IF('Grocery Purchases'!B488="","",'Grocery Purchases'!I488)</f>
        <v/>
      </c>
    </row>
    <row r="492" customFormat="false" ht="15" hidden="false" customHeight="true" outlineLevel="0" collapsed="false">
      <c r="A492" s="12" t="str">
        <f aca="false">IF('Grocery Purchases'!B489="","",'Grocery Purchases'!A489)</f>
        <v/>
      </c>
      <c r="B492" s="17" t="str">
        <f aca="false">IF('Grocery Purchases'!B489="","",'Grocery Purchases'!B489)</f>
        <v/>
      </c>
      <c r="C492" s="17" t="str">
        <f aca="false">IF('Grocery Purchases'!B489="","",'Grocery Purchases'!C489)</f>
        <v/>
      </c>
      <c r="D492" s="14" t="str">
        <f aca="false">IF('Grocery Purchases'!B489="","",'Grocery Purchases'!D489)</f>
        <v/>
      </c>
      <c r="E492" s="11" t="str">
        <f aca="false">IF('Grocery Purchases'!B489="","",'Grocery Purchases'!F489)</f>
        <v/>
      </c>
      <c r="F492" s="11" t="str">
        <f aca="false">IF('Grocery Purchases'!B489="","",'Grocery Purchases'!G489)</f>
        <v/>
      </c>
      <c r="G492" s="32" t="str">
        <f aca="false">IF('Grocery Purchases'!B489="","",'Grocery Purchases'!H489)</f>
        <v/>
      </c>
      <c r="H492" s="14" t="str">
        <f aca="false">IF('Grocery Purchases'!B489="","",'Grocery Purchases'!I489)</f>
        <v/>
      </c>
    </row>
    <row r="493" customFormat="false" ht="15" hidden="false" customHeight="true" outlineLevel="0" collapsed="false">
      <c r="A493" s="12" t="str">
        <f aca="false">IF('Grocery Purchases'!B490="","",'Grocery Purchases'!A490)</f>
        <v/>
      </c>
      <c r="B493" s="17" t="str">
        <f aca="false">IF('Grocery Purchases'!B490="","",'Grocery Purchases'!B490)</f>
        <v/>
      </c>
      <c r="C493" s="17" t="str">
        <f aca="false">IF('Grocery Purchases'!B490="","",'Grocery Purchases'!C490)</f>
        <v/>
      </c>
      <c r="D493" s="14" t="str">
        <f aca="false">IF('Grocery Purchases'!B490="","",'Grocery Purchases'!D490)</f>
        <v/>
      </c>
      <c r="E493" s="11" t="str">
        <f aca="false">IF('Grocery Purchases'!B490="","",'Grocery Purchases'!F490)</f>
        <v/>
      </c>
      <c r="F493" s="11" t="str">
        <f aca="false">IF('Grocery Purchases'!B490="","",'Grocery Purchases'!G490)</f>
        <v/>
      </c>
      <c r="G493" s="32" t="str">
        <f aca="false">IF('Grocery Purchases'!B490="","",'Grocery Purchases'!H490)</f>
        <v/>
      </c>
      <c r="H493" s="14" t="str">
        <f aca="false">IF('Grocery Purchases'!B490="","",'Grocery Purchases'!I490)</f>
        <v/>
      </c>
    </row>
    <row r="494" customFormat="false" ht="15" hidden="false" customHeight="true" outlineLevel="0" collapsed="false">
      <c r="A494" s="12" t="str">
        <f aca="false">IF('Grocery Purchases'!B491="","",'Grocery Purchases'!A491)</f>
        <v/>
      </c>
      <c r="B494" s="17" t="str">
        <f aca="false">IF('Grocery Purchases'!B491="","",'Grocery Purchases'!B491)</f>
        <v/>
      </c>
      <c r="C494" s="17" t="str">
        <f aca="false">IF('Grocery Purchases'!B491="","",'Grocery Purchases'!C491)</f>
        <v/>
      </c>
      <c r="D494" s="14" t="str">
        <f aca="false">IF('Grocery Purchases'!B491="","",'Grocery Purchases'!D491)</f>
        <v/>
      </c>
      <c r="E494" s="11" t="str">
        <f aca="false">IF('Grocery Purchases'!B491="","",'Grocery Purchases'!F491)</f>
        <v/>
      </c>
      <c r="F494" s="11" t="str">
        <f aca="false">IF('Grocery Purchases'!B491="","",'Grocery Purchases'!G491)</f>
        <v/>
      </c>
      <c r="G494" s="32" t="str">
        <f aca="false">IF('Grocery Purchases'!B491="","",'Grocery Purchases'!H491)</f>
        <v/>
      </c>
      <c r="H494" s="14" t="str">
        <f aca="false">IF('Grocery Purchases'!B491="","",'Grocery Purchases'!I491)</f>
        <v/>
      </c>
    </row>
    <row r="495" customFormat="false" ht="15" hidden="false" customHeight="true" outlineLevel="0" collapsed="false">
      <c r="A495" s="12" t="str">
        <f aca="false">IF('Grocery Purchases'!B492="","",'Grocery Purchases'!A492)</f>
        <v/>
      </c>
      <c r="B495" s="17" t="str">
        <f aca="false">IF('Grocery Purchases'!B492="","",'Grocery Purchases'!B492)</f>
        <v/>
      </c>
      <c r="C495" s="17" t="str">
        <f aca="false">IF('Grocery Purchases'!B492="","",'Grocery Purchases'!C492)</f>
        <v/>
      </c>
      <c r="D495" s="14" t="str">
        <f aca="false">IF('Grocery Purchases'!B492="","",'Grocery Purchases'!D492)</f>
        <v/>
      </c>
      <c r="E495" s="11" t="str">
        <f aca="false">IF('Grocery Purchases'!B492="","",'Grocery Purchases'!F492)</f>
        <v/>
      </c>
      <c r="F495" s="11" t="str">
        <f aca="false">IF('Grocery Purchases'!B492="","",'Grocery Purchases'!G492)</f>
        <v/>
      </c>
      <c r="G495" s="32" t="str">
        <f aca="false">IF('Grocery Purchases'!B492="","",'Grocery Purchases'!H492)</f>
        <v/>
      </c>
      <c r="H495" s="14" t="str">
        <f aca="false">IF('Grocery Purchases'!B492="","",'Grocery Purchases'!I492)</f>
        <v/>
      </c>
    </row>
    <row r="496" customFormat="false" ht="15" hidden="false" customHeight="true" outlineLevel="0" collapsed="false">
      <c r="A496" s="12" t="str">
        <f aca="false">IF('Grocery Purchases'!B493="","",'Grocery Purchases'!A493)</f>
        <v/>
      </c>
      <c r="B496" s="17" t="str">
        <f aca="false">IF('Grocery Purchases'!B493="","",'Grocery Purchases'!B493)</f>
        <v/>
      </c>
      <c r="C496" s="17" t="str">
        <f aca="false">IF('Grocery Purchases'!B493="","",'Grocery Purchases'!C493)</f>
        <v/>
      </c>
      <c r="D496" s="14" t="str">
        <f aca="false">IF('Grocery Purchases'!B493="","",'Grocery Purchases'!D493)</f>
        <v/>
      </c>
      <c r="E496" s="11" t="str">
        <f aca="false">IF('Grocery Purchases'!B493="","",'Grocery Purchases'!F493)</f>
        <v/>
      </c>
      <c r="F496" s="11" t="str">
        <f aca="false">IF('Grocery Purchases'!B493="","",'Grocery Purchases'!G493)</f>
        <v/>
      </c>
      <c r="G496" s="32" t="str">
        <f aca="false">IF('Grocery Purchases'!B493="","",'Grocery Purchases'!H493)</f>
        <v/>
      </c>
      <c r="H496" s="14" t="str">
        <f aca="false">IF('Grocery Purchases'!B493="","",'Grocery Purchases'!I493)</f>
        <v/>
      </c>
    </row>
    <row r="497" customFormat="false" ht="15" hidden="false" customHeight="true" outlineLevel="0" collapsed="false">
      <c r="A497" s="12" t="str">
        <f aca="false">IF('Grocery Purchases'!B494="","",'Grocery Purchases'!A494)</f>
        <v/>
      </c>
      <c r="B497" s="17" t="str">
        <f aca="false">IF('Grocery Purchases'!B494="","",'Grocery Purchases'!B494)</f>
        <v/>
      </c>
      <c r="C497" s="17" t="str">
        <f aca="false">IF('Grocery Purchases'!B494="","",'Grocery Purchases'!C494)</f>
        <v/>
      </c>
      <c r="D497" s="14" t="str">
        <f aca="false">IF('Grocery Purchases'!B494="","",'Grocery Purchases'!D494)</f>
        <v/>
      </c>
      <c r="E497" s="11" t="str">
        <f aca="false">IF('Grocery Purchases'!B494="","",'Grocery Purchases'!F494)</f>
        <v/>
      </c>
      <c r="F497" s="11" t="str">
        <f aca="false">IF('Grocery Purchases'!B494="","",'Grocery Purchases'!G494)</f>
        <v/>
      </c>
      <c r="G497" s="32" t="str">
        <f aca="false">IF('Grocery Purchases'!B494="","",'Grocery Purchases'!H494)</f>
        <v/>
      </c>
      <c r="H497" s="14" t="str">
        <f aca="false">IF('Grocery Purchases'!B494="","",'Grocery Purchases'!I494)</f>
        <v/>
      </c>
    </row>
    <row r="498" customFormat="false" ht="15" hidden="false" customHeight="true" outlineLevel="0" collapsed="false">
      <c r="A498" s="12" t="str">
        <f aca="false">IF('Grocery Purchases'!B495="","",'Grocery Purchases'!A495)</f>
        <v/>
      </c>
      <c r="B498" s="17" t="str">
        <f aca="false">IF('Grocery Purchases'!B495="","",'Grocery Purchases'!B495)</f>
        <v/>
      </c>
      <c r="C498" s="17" t="str">
        <f aca="false">IF('Grocery Purchases'!B495="","",'Grocery Purchases'!C495)</f>
        <v/>
      </c>
      <c r="D498" s="14" t="str">
        <f aca="false">IF('Grocery Purchases'!B495="","",'Grocery Purchases'!D495)</f>
        <v/>
      </c>
      <c r="E498" s="11" t="str">
        <f aca="false">IF('Grocery Purchases'!B495="","",'Grocery Purchases'!F495)</f>
        <v/>
      </c>
      <c r="F498" s="11" t="str">
        <f aca="false">IF('Grocery Purchases'!B495="","",'Grocery Purchases'!G495)</f>
        <v/>
      </c>
      <c r="G498" s="32" t="str">
        <f aca="false">IF('Grocery Purchases'!B495="","",'Grocery Purchases'!H495)</f>
        <v/>
      </c>
      <c r="H498" s="14" t="str">
        <f aca="false">IF('Grocery Purchases'!B495="","",'Grocery Purchases'!I495)</f>
        <v/>
      </c>
    </row>
    <row r="499" customFormat="false" ht="15" hidden="false" customHeight="true" outlineLevel="0" collapsed="false">
      <c r="A499" s="12" t="str">
        <f aca="false">IF('Grocery Purchases'!B496="","",'Grocery Purchases'!A496)</f>
        <v/>
      </c>
      <c r="B499" s="17" t="str">
        <f aca="false">IF('Grocery Purchases'!B496="","",'Grocery Purchases'!B496)</f>
        <v/>
      </c>
      <c r="C499" s="17" t="str">
        <f aca="false">IF('Grocery Purchases'!B496="","",'Grocery Purchases'!C496)</f>
        <v/>
      </c>
      <c r="D499" s="14" t="str">
        <f aca="false">IF('Grocery Purchases'!B496="","",'Grocery Purchases'!D496)</f>
        <v/>
      </c>
      <c r="E499" s="11" t="str">
        <f aca="false">IF('Grocery Purchases'!B496="","",'Grocery Purchases'!F496)</f>
        <v/>
      </c>
      <c r="F499" s="11" t="str">
        <f aca="false">IF('Grocery Purchases'!B496="","",'Grocery Purchases'!G496)</f>
        <v/>
      </c>
      <c r="G499" s="32" t="str">
        <f aca="false">IF('Grocery Purchases'!B496="","",'Grocery Purchases'!H496)</f>
        <v/>
      </c>
      <c r="H499" s="14" t="str">
        <f aca="false">IF('Grocery Purchases'!B496="","",'Grocery Purchases'!I496)</f>
        <v/>
      </c>
    </row>
    <row r="500" customFormat="false" ht="15" hidden="false" customHeight="true" outlineLevel="0" collapsed="false">
      <c r="A500" s="12" t="str">
        <f aca="false">IF('Grocery Purchases'!B497="","",'Grocery Purchases'!A497)</f>
        <v/>
      </c>
      <c r="B500" s="17" t="str">
        <f aca="false">IF('Grocery Purchases'!B497="","",'Grocery Purchases'!B497)</f>
        <v/>
      </c>
      <c r="C500" s="17" t="str">
        <f aca="false">IF('Grocery Purchases'!B497="","",'Grocery Purchases'!C497)</f>
        <v/>
      </c>
      <c r="D500" s="14" t="str">
        <f aca="false">IF('Grocery Purchases'!B497="","",'Grocery Purchases'!D497)</f>
        <v/>
      </c>
      <c r="E500" s="11" t="str">
        <f aca="false">IF('Grocery Purchases'!B497="","",'Grocery Purchases'!F497)</f>
        <v/>
      </c>
      <c r="F500" s="11" t="str">
        <f aca="false">IF('Grocery Purchases'!B497="","",'Grocery Purchases'!G497)</f>
        <v/>
      </c>
      <c r="G500" s="32" t="str">
        <f aca="false">IF('Grocery Purchases'!B497="","",'Grocery Purchases'!H497)</f>
        <v/>
      </c>
      <c r="H500" s="14" t="str">
        <f aca="false">IF('Grocery Purchases'!B497="","",'Grocery Purchases'!I497)</f>
        <v/>
      </c>
    </row>
    <row r="501" customFormat="false" ht="15" hidden="false" customHeight="true" outlineLevel="0" collapsed="false">
      <c r="A501" s="12" t="str">
        <f aca="false">IF('Grocery Purchases'!B498="","",'Grocery Purchases'!A498)</f>
        <v/>
      </c>
      <c r="B501" s="17" t="str">
        <f aca="false">IF('Grocery Purchases'!B498="","",'Grocery Purchases'!B498)</f>
        <v/>
      </c>
      <c r="C501" s="17" t="str">
        <f aca="false">IF('Grocery Purchases'!B498="","",'Grocery Purchases'!C498)</f>
        <v/>
      </c>
      <c r="D501" s="14" t="str">
        <f aca="false">IF('Grocery Purchases'!B498="","",'Grocery Purchases'!D498)</f>
        <v/>
      </c>
      <c r="E501" s="11" t="str">
        <f aca="false">IF('Grocery Purchases'!B498="","",'Grocery Purchases'!F498)</f>
        <v/>
      </c>
      <c r="F501" s="11" t="str">
        <f aca="false">IF('Grocery Purchases'!B498="","",'Grocery Purchases'!G498)</f>
        <v/>
      </c>
      <c r="G501" s="32" t="str">
        <f aca="false">IF('Grocery Purchases'!B498="","",'Grocery Purchases'!H498)</f>
        <v/>
      </c>
      <c r="H501" s="14" t="str">
        <f aca="false">IF('Grocery Purchases'!B498="","",'Grocery Purchases'!I498)</f>
        <v/>
      </c>
    </row>
    <row r="502" customFormat="false" ht="15" hidden="false" customHeight="true" outlineLevel="0" collapsed="false">
      <c r="A502" s="12" t="str">
        <f aca="false">IF('Grocery Purchases'!B499="","",'Grocery Purchases'!A499)</f>
        <v/>
      </c>
      <c r="B502" s="17" t="str">
        <f aca="false">IF('Grocery Purchases'!B499="","",'Grocery Purchases'!B499)</f>
        <v/>
      </c>
      <c r="C502" s="17" t="str">
        <f aca="false">IF('Grocery Purchases'!B499="","",'Grocery Purchases'!C499)</f>
        <v/>
      </c>
      <c r="D502" s="14" t="str">
        <f aca="false">IF('Grocery Purchases'!B499="","",'Grocery Purchases'!D499)</f>
        <v/>
      </c>
      <c r="E502" s="11" t="str">
        <f aca="false">IF('Grocery Purchases'!B499="","",'Grocery Purchases'!F499)</f>
        <v/>
      </c>
      <c r="F502" s="11" t="str">
        <f aca="false">IF('Grocery Purchases'!B499="","",'Grocery Purchases'!G499)</f>
        <v/>
      </c>
      <c r="G502" s="32" t="str">
        <f aca="false">IF('Grocery Purchases'!B499="","",'Grocery Purchases'!H499)</f>
        <v/>
      </c>
      <c r="H502" s="14" t="str">
        <f aca="false">IF('Grocery Purchases'!B499="","",'Grocery Purchases'!I499)</f>
        <v/>
      </c>
    </row>
    <row r="503" customFormat="false" ht="15" hidden="false" customHeight="true" outlineLevel="0" collapsed="false">
      <c r="A503" s="12" t="str">
        <f aca="false">IF('Grocery Purchases'!B500="","",'Grocery Purchases'!A500)</f>
        <v/>
      </c>
      <c r="B503" s="17" t="str">
        <f aca="false">IF('Grocery Purchases'!B500="","",'Grocery Purchases'!B500)</f>
        <v/>
      </c>
      <c r="C503" s="17" t="str">
        <f aca="false">IF('Grocery Purchases'!B500="","",'Grocery Purchases'!C500)</f>
        <v/>
      </c>
      <c r="D503" s="14" t="str">
        <f aca="false">IF('Grocery Purchases'!B500="","",'Grocery Purchases'!D500)</f>
        <v/>
      </c>
      <c r="E503" s="11" t="str">
        <f aca="false">IF('Grocery Purchases'!B500="","",'Grocery Purchases'!F500)</f>
        <v/>
      </c>
      <c r="F503" s="11" t="str">
        <f aca="false">IF('Grocery Purchases'!B500="","",'Grocery Purchases'!G500)</f>
        <v/>
      </c>
      <c r="G503" s="32" t="str">
        <f aca="false">IF('Grocery Purchases'!B500="","",'Grocery Purchases'!H500)</f>
        <v/>
      </c>
      <c r="H503" s="14" t="str">
        <f aca="false">IF('Grocery Purchases'!B500="","",'Grocery Purchases'!I500)</f>
        <v/>
      </c>
    </row>
  </sheetData>
  <mergeCells count="2">
    <mergeCell ref="A1:H1"/>
    <mergeCell ref="A2:H2"/>
  </mergeCells>
  <conditionalFormatting sqref="G5:G503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0"/>
    <col collapsed="false" customWidth="true" hidden="false" outlineLevel="0" max="3" min="3" style="1" width="14"/>
  </cols>
  <sheetData>
    <row r="1" customFormat="false" ht="21.75" hidden="false" customHeight="true" outlineLevel="0" collapsed="false">
      <c r="A1" s="2" t="s">
        <v>93</v>
      </c>
      <c r="B1" s="2"/>
      <c r="C1" s="2"/>
    </row>
    <row r="2" customFormat="false" ht="15" hidden="false" customHeight="true" outlineLevel="0" collapsed="false">
      <c r="A2" s="33"/>
    </row>
    <row r="4" customFormat="false" ht="15" hidden="false" customHeight="true" outlineLevel="0" collapsed="false">
      <c r="A4" s="4" t="s">
        <v>94</v>
      </c>
      <c r="B4" s="4"/>
      <c r="C4" s="4"/>
    </row>
    <row r="5" customFormat="false" ht="15" hidden="false" customHeight="true" outlineLevel="0" collapsed="false">
      <c r="A5" s="34" t="s">
        <v>95</v>
      </c>
      <c r="B5" s="20"/>
    </row>
    <row r="6" customFormat="false" ht="15" hidden="false" customHeight="true" outlineLevel="0" collapsed="false">
      <c r="A6" s="34" t="s">
        <v>96</v>
      </c>
      <c r="B6" s="20"/>
    </row>
    <row r="7" customFormat="false" ht="15" hidden="false" customHeight="true" outlineLevel="0" collapsed="false">
      <c r="A7" s="34" t="s">
        <v>97</v>
      </c>
      <c r="B7" s="20"/>
    </row>
    <row r="8" customFormat="false" ht="15" hidden="false" customHeight="true" outlineLevel="0" collapsed="false">
      <c r="A8" s="34" t="s">
        <v>98</v>
      </c>
      <c r="B8" s="20"/>
    </row>
    <row r="9" customFormat="false" ht="15" hidden="false" customHeight="true" outlineLevel="0" collapsed="false">
      <c r="A9" s="34" t="s">
        <v>99</v>
      </c>
      <c r="B9" s="17"/>
    </row>
    <row r="10" customFormat="false" ht="15" hidden="false" customHeight="true" outlineLevel="0" collapsed="false">
      <c r="A10" s="34" t="s">
        <v>100</v>
      </c>
      <c r="B10" s="20"/>
    </row>
    <row r="11" customFormat="false" ht="15" hidden="false" customHeight="true" outlineLevel="0" collapsed="false">
      <c r="A11" s="34" t="s">
        <v>101</v>
      </c>
      <c r="B11" s="20"/>
    </row>
    <row r="12" customFormat="false" ht="15" hidden="false" customHeight="true" outlineLevel="0" collapsed="false">
      <c r="A12" s="34" t="s">
        <v>102</v>
      </c>
      <c r="B12" s="20"/>
    </row>
    <row r="13" customFormat="false" ht="15" hidden="false" customHeight="true" outlineLevel="0" collapsed="false">
      <c r="A13" s="34" t="s">
        <v>103</v>
      </c>
      <c r="B13" s="20"/>
    </row>
    <row r="14" customFormat="false" ht="15" hidden="false" customHeight="true" outlineLevel="0" collapsed="false">
      <c r="A14" s="34" t="s">
        <v>104</v>
      </c>
      <c r="B14" s="20"/>
    </row>
    <row r="15" customFormat="false" ht="15" hidden="false" customHeight="true" outlineLevel="0" collapsed="false">
      <c r="A15" s="34" t="s">
        <v>105</v>
      </c>
      <c r="B15" s="20"/>
    </row>
    <row r="16" customFormat="false" ht="15" hidden="false" customHeight="true" outlineLevel="0" collapsed="false">
      <c r="A16" s="34" t="s">
        <v>106</v>
      </c>
      <c r="B16" s="20"/>
    </row>
    <row r="17" customFormat="false" ht="15" hidden="false" customHeight="true" outlineLevel="0" collapsed="false">
      <c r="A17" s="34" t="s">
        <v>107</v>
      </c>
      <c r="B17" s="20"/>
    </row>
    <row r="18" customFormat="false" ht="15" hidden="false" customHeight="true" outlineLevel="0" collapsed="false">
      <c r="A18" s="34" t="s">
        <v>108</v>
      </c>
      <c r="B18" s="20"/>
    </row>
    <row r="19" customFormat="false" ht="15" hidden="false" customHeight="true" outlineLevel="0" collapsed="false">
      <c r="A19" s="34" t="s">
        <v>109</v>
      </c>
      <c r="B19" s="20"/>
    </row>
    <row r="21" customFormat="false" ht="15" hidden="false" customHeight="true" outlineLevel="0" collapsed="false">
      <c r="A21" s="4" t="s">
        <v>110</v>
      </c>
      <c r="B21" s="4"/>
      <c r="C21" s="4"/>
    </row>
    <row r="22" customFormat="false" ht="15" hidden="false" customHeight="true" outlineLevel="0" collapsed="false">
      <c r="A22" s="34" t="s">
        <v>111</v>
      </c>
      <c r="B22" s="35"/>
    </row>
    <row r="23" customFormat="false" ht="15" hidden="false" customHeight="true" outlineLevel="0" collapsed="false">
      <c r="A23" s="34" t="s">
        <v>112</v>
      </c>
      <c r="B23" s="35"/>
    </row>
    <row r="24" customFormat="false" ht="15" hidden="false" customHeight="true" outlineLevel="0" collapsed="false">
      <c r="A24" s="34" t="s">
        <v>113</v>
      </c>
      <c r="B24" s="35"/>
    </row>
    <row r="25" customFormat="false" ht="15" hidden="false" customHeight="true" outlineLevel="0" collapsed="false">
      <c r="A25" s="34" t="s">
        <v>114</v>
      </c>
      <c r="B25" s="35"/>
    </row>
    <row r="26" customFormat="false" ht="15" hidden="false" customHeight="true" outlineLevel="0" collapsed="false">
      <c r="A26" s="34" t="s">
        <v>115</v>
      </c>
      <c r="B26" s="35"/>
    </row>
    <row r="27" customFormat="false" ht="15" hidden="false" customHeight="true" outlineLevel="0" collapsed="false">
      <c r="A27" s="34" t="s">
        <v>116</v>
      </c>
      <c r="B27" s="35"/>
    </row>
    <row r="28" customFormat="false" ht="15" hidden="false" customHeight="true" outlineLevel="0" collapsed="false">
      <c r="A28" s="34" t="s">
        <v>117</v>
      </c>
      <c r="B28" s="35"/>
    </row>
    <row r="29" customFormat="false" ht="15" hidden="false" customHeight="true" outlineLevel="0" collapsed="false">
      <c r="A29" s="34" t="s">
        <v>118</v>
      </c>
      <c r="B29" s="35"/>
    </row>
    <row r="30" customFormat="false" ht="15" hidden="false" customHeight="true" outlineLevel="0" collapsed="false">
      <c r="A30" s="34" t="s">
        <v>119</v>
      </c>
      <c r="B30" s="11" t="n">
        <f aca="false">B24-B29</f>
        <v>0</v>
      </c>
    </row>
    <row r="32" customFormat="false" ht="15" hidden="false" customHeight="true" outlineLevel="0" collapsed="false">
      <c r="A32" s="4" t="s">
        <v>120</v>
      </c>
      <c r="B32" s="4"/>
      <c r="C32" s="4"/>
    </row>
    <row r="33" customFormat="false" ht="15" hidden="false" customHeight="true" outlineLevel="0" collapsed="false">
      <c r="A33" s="34" t="s">
        <v>121</v>
      </c>
      <c r="B33" s="20"/>
    </row>
    <row r="34" customFormat="false" ht="15" hidden="false" customHeight="true" outlineLevel="0" collapsed="false">
      <c r="A34" s="34" t="s">
        <v>122</v>
      </c>
      <c r="B34" s="20"/>
    </row>
    <row r="36" customFormat="false" ht="15" hidden="false" customHeight="true" outlineLevel="0" collapsed="false">
      <c r="A36" s="4" t="s">
        <v>123</v>
      </c>
      <c r="B36" s="4"/>
      <c r="C36" s="4"/>
    </row>
    <row r="37" customFormat="false" ht="75" hidden="false" customHeight="true" outlineLevel="0" collapsed="false">
      <c r="A37" s="36"/>
      <c r="B37" s="36"/>
      <c r="C37" s="36"/>
    </row>
    <row r="39" customFormat="false" ht="15" hidden="false" customHeight="true" outlineLevel="0" collapsed="false">
      <c r="A39" s="4" t="s">
        <v>124</v>
      </c>
      <c r="B39" s="4"/>
      <c r="C39" s="4"/>
    </row>
    <row r="40" customFormat="false" ht="54.75" hidden="false" customHeight="true" outlineLevel="0" collapsed="false">
      <c r="A40" s="36"/>
      <c r="B40" s="36"/>
      <c r="C40" s="36"/>
    </row>
  </sheetData>
  <mergeCells count="8">
    <mergeCell ref="A1:C1"/>
    <mergeCell ref="A4:C4"/>
    <mergeCell ref="A21:C21"/>
    <mergeCell ref="A32:C32"/>
    <mergeCell ref="A36:C36"/>
    <mergeCell ref="A37:C37"/>
    <mergeCell ref="A39:C39"/>
    <mergeCell ref="A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2026-09-18T17:42:48Z</dcterms:created>
  <dc:creator>openpyxl</dc:creator>
  <dc:description/>
  <dc:language>en-US</dc:language>
  <cp:lastModifiedBy/>
  <dcterms:modified xsi:type="dcterms:W3CDTF">2026-09-25T18:27:56Z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